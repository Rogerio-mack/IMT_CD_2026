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ano_2026S1\CD\"/>
    </mc:Choice>
  </mc:AlternateContent>
  <xr:revisionPtr revIDLastSave="0" documentId="8_{420636E9-053C-4EE2-B3EC-ABE2B46CF6B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3" i="2"/>
</calcChain>
</file>

<file path=xl/sharedStrings.xml><?xml version="1.0" encoding="utf-8"?>
<sst xmlns="http://schemas.openxmlformats.org/spreadsheetml/2006/main" count="220" uniqueCount="162">
  <si>
    <t>PSUB_GABARITO_12345670</t>
  </si>
  <si>
    <t>PSUB_André_Freire_Prino_21004765</t>
  </si>
  <si>
    <t>PSUB_André_Renato_Almeida_Abreu_22012559</t>
  </si>
  <si>
    <t>PSUB_Durval_Consorti_Soranz_de_Barros_Santos_22010970</t>
  </si>
  <si>
    <t>PSUB_Estevan_Feher_21005869</t>
  </si>
  <si>
    <t>PSUB_Fernando_Minharro_Alves_Gimenez_22008330</t>
  </si>
  <si>
    <t>PSUB_Guilherme_Thomasi_Ronca_22005226 (1)</t>
  </si>
  <si>
    <t>PSUB_João_Paulo_Bonagurio_Ramirez_22012478 (1)</t>
  </si>
  <si>
    <t>PSUB_João_Vitor_Marques_Ferrenha_Cerqueira_22000852</t>
  </si>
  <si>
    <t>PSUB_Leonardo_Roberto_Amadio_22013008</t>
  </si>
  <si>
    <t>PSUB_Lucas_Castanho_Paganotto_Carvalho_22009213</t>
  </si>
  <si>
    <t>PSUB_Matheus_Santos_Feitosa_20006284</t>
  </si>
  <si>
    <t>PSUB_Murillo_Penha_Strina_22007300</t>
  </si>
  <si>
    <t>PSUB_Vinicius_Garcia_Imendes_Dechechi_22015680</t>
  </si>
  <si>
    <t>ar.L1 (0.007): Significativo ar.L2 (0.003): Significativo ar.L3 (0.002): Significativo ma.L1 (0.414): Não Significativo (maior que 0.05) ma.L2 (0.745): Não Significativo (maior que 0.05)</t>
  </si>
  <si>
    <t>Sim. ar.L1, ar.L2 e ar.L3 não significativos (p &gt; 0.05). Modelo somente com parâmetros significativos ARIMA(0,1,2): ma.L1 = 1.0581, ma.L2 = 0.4208</t>
  </si>
  <si>
    <t>ma.L1 = 1.0712, ma.L2 = 0.4303</t>
  </si>
  <si>
    <t>Não há parâmetros não significativos</t>
  </si>
  <si>
    <t>Termos AR (L1, L2, L3) não significativos (p &gt; 0.05). Apenas MA significativo.</t>
  </si>
  <si>
    <t>params: ar.L1 = 0.175, ar.L2 = 0.282, ar.L3 = 0.991 não são significativos. ARIMA(0,1,2): ma.L1 = 1.0581, ma.L2 = 0.4208, modelo só com significativos</t>
  </si>
  <si>
    <t>ma.L1 = 1.2492, ma.L2 = 0.5185</t>
  </si>
  <si>
    <t>ar.L1 = 0.4262, ma.L1 = 0.5714</t>
  </si>
  <si>
    <t>ma.L1 = 1.0581, ma.L2 = 0.4208, sigma2 = 0.0036</t>
  </si>
  <si>
    <t>ar.L1 = 0.175, ar.L2 = 0.283, ar.L3 = 0.991</t>
  </si>
  <si>
    <t>ma.L1 = 1.2500, ma.L2 = 0.5184</t>
  </si>
  <si>
    <t>ar.L1 = 1.0438, ar.L2 = -0.6764, ar.L3 = 0.3087</t>
  </si>
  <si>
    <t>ma.L1 = 1.0581, ma.L2 = 0.4208</t>
  </si>
  <si>
    <t>(0, 1, 2)</t>
  </si>
  <si>
    <t>(0,1,2)</t>
  </si>
  <si>
    <t>(1, 1, 1)</t>
  </si>
  <si>
    <t>(0,0,2)</t>
  </si>
  <si>
    <t>(3,1,0)</t>
  </si>
  <si>
    <t>5.6749</t>
  </si>
  <si>
    <t>Nao. O AIC do melhor modelo (1130.374) e apenas marginalmente menor que o do modelo inicial (1135.268) e o RMSE e praticamente igual (~0.60). O erro nao e significativamente menor; a vantagem do ARIMA(0,1,2) e a parcimonia, com menos parametros e todos significativos.</t>
  </si>
  <si>
    <t>O melhor modelo (0,1,2) apresenta um AIC de -1738.647, o que é marginalmente inferior ao modelo inicial (1,1,2) de -1736.672. Embora a melhora no AIC seja pequena, o modelo é mais simples por não possuir o termo AR não significativo.</t>
  </si>
  <si>
    <t>Sim. O RMSE diminuiu em cerca de 27% (de 0.091 para 0.066) e o AIC teve uma queda expressiva, indicando um ajuste superior e um erro de previsão menor.</t>
  </si>
  <si>
    <t>Sim. O AIC reduziu de -1733.75 para -1738.65. O novo modelo (0,1,2) é preferível pois removeu os termos AR que não eram estatisticamente significativos na Q2, resultando em um modelo mais simples e com melhor critério de informação.</t>
  </si>
  <si>
    <t>Não, RMSE 0.0605 vs 0.0604 e MAPE 0.0324 vs 0.0323 é um erro idêntico. O AIC só melhorou por 3 parametros a menos, já que os termos AR não eram significativos e não agregavam informação. A dinâmica da série diferenciada é essencialmente MA(2).</t>
  </si>
  <si>
    <t>O melhor modelo (0,1,2) possui menor AIC e complexidade. Os termos AR no modelo inicial eram estatisticamente irrelevantes (p &gt; 0.05).</t>
  </si>
  <si>
    <t>Embora o valor absoluto do AIC tenha diminuído (ficou mais negativo), o que indica uma melhoria estatística na qualidade do ajuste e na parcimônia do modelo, a diferença não é considerada 'drástica' em termos de magnitude de erro bruto (RMSE), dado que o modelo inicial já era extremamente preciso. No entanto, o modelo (0, 2, 2) é preferível pois obteve um melhor equilíbrio entre complexidade e ajuste, resultando em um ganho de aproximadamente 22 pontos no critério de informação de Akaike, o que é estatisticamente relevante para seleção de modelos.</t>
  </si>
  <si>
    <t>Não. Os erros (RMSE=0.060 e MAPE=0.031) são praticamente idênticos. A vantagem do modelo ARIMA(0,1,2) não está na redução do erro, mas na sua simplicidade. O modelo inicial ARIMA(3,1,2) possuía parâmetros AR não significativos (p-values &gt; 0.05). Ao removê-los, o novo modelo manteve a precisão e reduziu o AIC (-1738.6 contra -1733.7), sendo preferível pelo princípio da parcimônia.</t>
  </si>
  <si>
    <t>Olhando para as métricas, o erro do melhor modelo (RMSE: 0.060, MAPE: 0.031) é praticamente idêntico ao do primeiro modelo que fizemos. Portanto, o erro não é significativamente menor, embora o AIC tenha tido uma ligeira melhora.a.</t>
  </si>
  <si>
    <t>Não, o RMSE do melhor modelo é quase igual ao do modelo inicial, logo não há redução significativa do erro. A principal vantagem do ARIMA foi a representação de um  menor valor de AIC e ser mais parcimonioso.</t>
  </si>
  <si>
    <t>Não. Embora o ARIMA(3,1,0) apresente o menor AIC (melhor ajuste no treino penalizando complexidade), seu RMSE no teste (0.4363) foi ligeiramente maior que o do modelo inicial (0.4219). Logo, o menor AIC não garantiu menor erro preditivo (out-of-sample).</t>
  </si>
  <si>
    <t>Não, a diferença de erro não é significativamente menor (ambos têm RMSE de 0.060).</t>
  </si>
  <si>
    <t>Mann-Whitney U</t>
  </si>
  <si>
    <t>mannwhitneyu(feminino, masculino, alternative='two-sided')</t>
  </si>
  <si>
    <t>Mann-Whitney (Wilcoxon rank-sum test)</t>
  </si>
  <si>
    <t>mannwhitneyu(x, y, alternative='two-sided')</t>
  </si>
  <si>
    <t>Mann-Whitney (scipy.stats.mannwhitneyu)</t>
  </si>
  <si>
    <t>mannwhitneyu(M, F, alternative='two-sided')</t>
  </si>
  <si>
    <t>Mann-Whitney U (non-parametric)</t>
  </si>
  <si>
    <t>Shapiro-Wilk</t>
  </si>
  <si>
    <t>mannwhitneyu(g1, g2, alternative='two-sided')</t>
  </si>
  <si>
    <t>mannwhitneyu(group_m, group_f, alternative='two-sided')</t>
  </si>
  <si>
    <t>mannwhitneyu(..., alternative='two-sided')</t>
  </si>
  <si>
    <t>mannwhitneyu(alternative='two-sided')</t>
  </si>
  <si>
    <t>mannwhitneyu</t>
  </si>
  <si>
    <t xml:space="preserve">sim </t>
  </si>
  <si>
    <t>sim</t>
  </si>
  <si>
    <t>não</t>
  </si>
  <si>
    <t>Device: keyboard    | p-value: 0.0876 |  Teve influência? Não</t>
  </si>
  <si>
    <t>keyboard, p-value = 0.088</t>
  </si>
  <si>
    <t>keyboard, p-value = 0.0876</t>
  </si>
  <si>
    <t>keyboard, p-value = 0.0876. skate 0.0030 e joystick 0.0020 são significativos, e só o keyboard diverge do geral</t>
  </si>
  <si>
    <t>None</t>
  </si>
  <si>
    <t>skate, p-value = 0.0030 | joystick, p-value = 0.0020 | None</t>
  </si>
  <si>
    <t>keyboard p-value = 0.08760850621852327</t>
  </si>
  <si>
    <t>Q1B</t>
  </si>
  <si>
    <t>Q1C</t>
  </si>
  <si>
    <t>Q1</t>
  </si>
  <si>
    <t>Q2A</t>
  </si>
  <si>
    <t>Q2B</t>
  </si>
  <si>
    <t>Q2C</t>
  </si>
  <si>
    <t>Q2D</t>
  </si>
  <si>
    <t>Q2</t>
  </si>
  <si>
    <t>0.0609</t>
  </si>
  <si>
    <t>0.3294</t>
  </si>
  <si>
    <t>ma.L1 = 1.0575, ma.L2 = 0.4202, sigma2 = 0.0036; (OU ma.L1 = 0.7554, ma.L2 = 0.3255, sigma2 = 0.0035;)</t>
  </si>
  <si>
    <t>(0,2,2)</t>
  </si>
  <si>
    <t>2440.15</t>
  </si>
  <si>
    <t>Não. A diferença do AIC também é pequena. Como esperado coeficientes excluídos, sendo não significativos, não trazem diferença significativa nos resultados da predição.</t>
  </si>
  <si>
    <t>Q3</t>
  </si>
  <si>
    <t>Q3A</t>
  </si>
  <si>
    <t>Q3B</t>
  </si>
  <si>
    <t>Q3C</t>
  </si>
  <si>
    <t>Q3D</t>
  </si>
  <si>
    <t>mannwhitneyu()</t>
  </si>
  <si>
    <t>0.00025</t>
  </si>
  <si>
    <t>keyboard, p-value = 0.087</t>
  </si>
  <si>
    <t>Q4</t>
  </si>
  <si>
    <t>Q4A</t>
  </si>
  <si>
    <t>Q4B</t>
  </si>
  <si>
    <t>Q4C</t>
  </si>
  <si>
    <t>Q4D</t>
  </si>
  <si>
    <t>Existe associação significativa entre o dispositivo ('device') e o cansaço relatado ('Tiredness')?</t>
  </si>
  <si>
    <t>dispositivo ('device') e o cansaço relatado ('Tiredness'</t>
  </si>
  <si>
    <t xml:space="preserve"> NÃO existe associação significativa entre device e Tiredness.</t>
  </si>
  <si>
    <t>Anova</t>
  </si>
  <si>
    <t xml:space="preserve"> não</t>
  </si>
  <si>
    <t>Skate teve uma leve diferenciação</t>
  </si>
  <si>
    <t>O gênero do jogador está associado à frequência com que ele usa jogos de computador?</t>
  </si>
  <si>
    <t>Gênero; Frequência que usa jogos de computador (df_pre_games_Q)</t>
  </si>
  <si>
    <t>Sim. Com p-value = 0.0073 &lt; 0.05 rejeita-se H0: ha associacao significativa entre o genero e a frequencia de uso de jogos de computador.</t>
  </si>
  <si>
    <t>kruskal(joystick, keyboard, skate)</t>
  </si>
  <si>
    <t>Existe uma associação entre o gênero do jogador e o tipo de dispositivo escolhido?</t>
  </si>
  <si>
    <t>Gênero; device</t>
  </si>
  <si>
    <t>Não há evidéncia de associação entre as variáveis, pois o p-value (1.0) é superior a 0.05.</t>
  </si>
  <si>
    <t>Kruskal-Wallis</t>
  </si>
  <si>
    <t>A escolha do dispositivo tem relação com o gênero do jogador?</t>
  </si>
  <si>
    <t>Não. Como o p-value (0.8934) é maior que 0.05, não há relação estatisticamente significativa entre o gênero do jogador e a escolha do dispositivo.</t>
  </si>
  <si>
    <t>kruskal(*groups)</t>
  </si>
  <si>
    <t>Existe associação entre o gênero do jogador e a escolha do dispositivo (device)?</t>
  </si>
  <si>
    <t>Não, não existe evidéncia estatística de associação entre Gênero e Device (p-value &gt; 0.05).</t>
  </si>
  <si>
    <t>Kruskal-Wallis (scipy.stats.kruskal)</t>
  </si>
  <si>
    <t>O tipo de dispositivo está associado ao nível de desempenho em relação à mediana geral dos jogadores?</t>
  </si>
  <si>
    <t>device (df_games); pontuacao (df_games)</t>
  </si>
  <si>
    <t>Há associação significativa entre dispositivo e desempenho. Os resíduos padronizados mostram o keyboard concentrando desempenhos altos (+4.01) e o skate concentrando desempenhos baixos (+4.63), e o joystick fica próximo do esperado.</t>
  </si>
  <si>
    <t>friedmanchisquare(joystick, keyboard, skate)</t>
  </si>
  <si>
    <t>Existe associação entre Gênero e a Frequência de uso de jogos móveis?</t>
  </si>
  <si>
    <t>gender; Frequência que usa jogos em dispositivos móveis</t>
  </si>
  <si>
    <t>Não há evidência de associação significativa (p &gt; 0.05).</t>
  </si>
  <si>
    <t>Existe associação entre o Gênero do jogador e o Dispositivo (device) escolhido para jogar?</t>
  </si>
  <si>
    <t>genero do jogador e dispositivo</t>
  </si>
  <si>
    <t>Não há evidência estatística de associação entre Gênero e Dispositivo (p &gt; 0.05).</t>
  </si>
  <si>
    <t>Teste de Kruskal-Wallis, parametro são devices e experiencia</t>
  </si>
  <si>
    <t>Não há evidência estatisica de que o dispositivo influenciou a percepção</t>
  </si>
  <si>
    <t>Existe associação entre o gênero do jogador e os dispositivo utilizado?</t>
  </si>
  <si>
    <t>Como o p-value (0.8934) &gt;= 0.05, não rejeitamos a hipótese nula. Logo, NÃO existe associação significativa entre o Gênero e o Dispositivo (device) utilizado (são independentes).</t>
  </si>
  <si>
    <t>stats.kruskal(*groups)</t>
  </si>
  <si>
    <t>Existe associação entre o dispositivo utilizado e o nível de pontuação alcançado (Alta/Baixa)?</t>
  </si>
  <si>
    <t>device; Nivel_Pontuacao (derivada de pontuacao)</t>
  </si>
  <si>
    <t>Como o p-value (0.0000) é menor que 0.05, rejeitamos a hipótese nula. Há associação significativa entre o dispositivo e o nível de pontuação.</t>
  </si>
  <si>
    <t>kruskal(g_joystick, g_keyboard, g_skate)</t>
  </si>
  <si>
    <t>Existe associação entre a frequência de uso de jogos de computador e a frequência de uso de jogos em dispositivos móveis?</t>
  </si>
  <si>
    <t>Frequência que usa jogos de computador; Frequência que usa jogos em dispositivos móveis (smartphone e/ou tablet)</t>
  </si>
  <si>
    <t>Não, como o p-value é maior que 0,05, não há evidência estatisticamente significativa de associação entre a frequência de uso de jogos de computador e a de uso de jogos em dispositivos móveis</t>
  </si>
  <si>
    <t>Existe associação entre Gênero e o Dispositivo escolhido?</t>
  </si>
  <si>
    <t>Não há evidéncias de associação entre gênero e dispositivo (são independentes).</t>
  </si>
  <si>
    <t>Existe relação entre o Gênero e a Frequência que usa jogos de computador?</t>
  </si>
  <si>
    <t>Gênero; Frequência que usa jogos de computador</t>
  </si>
  <si>
    <t>Sim, rejeitamos a hipótese nula. Existe uma associação significativa entre o Gênero e a Frequência com que usam jogos de computador.</t>
  </si>
  <si>
    <t>kruskal</t>
  </si>
  <si>
    <t xml:space="preserve">O Gênero influencia na Frequência que o sujeito usa jogos de computador? </t>
  </si>
  <si>
    <t>df_pre_games_Q: ['Gênero'] e ['Frequência que usa jogos de computador']</t>
  </si>
  <si>
    <t>0.0073</t>
  </si>
  <si>
    <t>Sim, o Gênero influencia na Frequência que o sujeito usa jogos de computador.</t>
  </si>
  <si>
    <t>Q5A</t>
  </si>
  <si>
    <t>Q5B</t>
  </si>
  <si>
    <t>Q5C</t>
  </si>
  <si>
    <t>Q5D</t>
  </si>
  <si>
    <t>Q5</t>
  </si>
  <si>
    <t>stats.f_oneway</t>
  </si>
  <si>
    <t>0.2839</t>
  </si>
  <si>
    <t>Q6A</t>
  </si>
  <si>
    <t>Q6B</t>
  </si>
  <si>
    <t>Q6C</t>
  </si>
  <si>
    <t>Q6D</t>
  </si>
  <si>
    <t>Q6</t>
  </si>
  <si>
    <t>Nota Lab</t>
  </si>
  <si>
    <t>Q7 (gráfico)</t>
  </si>
  <si>
    <t>Teoria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</si>
</sst>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FEFA-3507-402A-B1B1-77477C66E3FE}">
  <dimension ref="A2:AG16"/>
  <sheetViews>
    <sheetView tabSelected="1" workbookViewId="0">
      <selection activeCell="D9" sqref="D9"/>
    </sheetView>
  </sheetViews>
  <sheetFormatPr defaultRowHeight="15" x14ac:dyDescent="0.25"/>
  <cols>
    <col min="1" max="1" width="55" bestFit="1" customWidth="1"/>
    <col min="2" max="4" width="8" style="4" customWidth="1"/>
    <col min="5" max="6" width="8" style="2" customWidth="1"/>
    <col min="7" max="7" width="8" style="4" customWidth="1"/>
    <col min="8" max="11" width="8" style="2" customWidth="1"/>
    <col min="12" max="12" width="8" style="4" customWidth="1"/>
    <col min="13" max="16" width="8" style="9" customWidth="1"/>
    <col min="17" max="17" width="8" style="4" customWidth="1"/>
    <col min="18" max="18" width="8" style="15" customWidth="1"/>
    <col min="19" max="19" width="8" style="9" customWidth="1"/>
    <col min="20" max="21" width="8" style="15" customWidth="1"/>
    <col min="22" max="22" width="8" style="4" customWidth="1"/>
    <col min="23" max="23" width="8" style="15" customWidth="1"/>
    <col min="24" max="25" width="8" style="9" customWidth="1"/>
    <col min="26" max="26" width="8" style="15" customWidth="1"/>
    <col min="27" max="27" width="8" style="4" customWidth="1"/>
    <col min="28" max="28" width="8" style="15" customWidth="1"/>
    <col min="29" max="30" width="8" style="9" customWidth="1"/>
    <col min="31" max="31" width="8" style="15" customWidth="1"/>
    <col min="32" max="33" width="8" style="4" customWidth="1"/>
  </cols>
  <sheetData>
    <row r="2" spans="1:33" x14ac:dyDescent="0.25">
      <c r="B2" s="5" t="s">
        <v>159</v>
      </c>
      <c r="C2" s="5" t="s">
        <v>159</v>
      </c>
      <c r="D2" s="5" t="s">
        <v>161</v>
      </c>
      <c r="E2" s="7" t="s">
        <v>68</v>
      </c>
      <c r="F2" s="7" t="s">
        <v>69</v>
      </c>
      <c r="G2" s="11" t="s">
        <v>70</v>
      </c>
      <c r="H2" s="7" t="s">
        <v>71</v>
      </c>
      <c r="I2" s="7" t="s">
        <v>72</v>
      </c>
      <c r="J2" s="7" t="s">
        <v>73</v>
      </c>
      <c r="K2" s="7" t="s">
        <v>74</v>
      </c>
      <c r="L2" s="5" t="s">
        <v>75</v>
      </c>
      <c r="M2" s="7" t="s">
        <v>83</v>
      </c>
      <c r="N2" s="7" t="s">
        <v>84</v>
      </c>
      <c r="O2" s="7" t="s">
        <v>85</v>
      </c>
      <c r="P2" s="7" t="s">
        <v>86</v>
      </c>
      <c r="Q2" s="5" t="s">
        <v>82</v>
      </c>
      <c r="R2" s="7" t="s">
        <v>91</v>
      </c>
      <c r="S2" s="7" t="s">
        <v>92</v>
      </c>
      <c r="T2" s="7" t="s">
        <v>93</v>
      </c>
      <c r="U2" s="7" t="s">
        <v>94</v>
      </c>
      <c r="V2" s="5" t="s">
        <v>90</v>
      </c>
      <c r="W2" s="7" t="s">
        <v>147</v>
      </c>
      <c r="X2" s="7" t="s">
        <v>148</v>
      </c>
      <c r="Y2" s="7" t="s">
        <v>149</v>
      </c>
      <c r="Z2" s="7" t="s">
        <v>150</v>
      </c>
      <c r="AA2" s="5" t="s">
        <v>151</v>
      </c>
      <c r="AB2" s="7" t="s">
        <v>154</v>
      </c>
      <c r="AC2" s="7" t="s">
        <v>155</v>
      </c>
      <c r="AD2" s="7" t="s">
        <v>156</v>
      </c>
      <c r="AE2" s="7" t="s">
        <v>157</v>
      </c>
      <c r="AF2" s="5" t="s">
        <v>158</v>
      </c>
      <c r="AG2" s="5" t="s">
        <v>160</v>
      </c>
    </row>
    <row r="3" spans="1:33" x14ac:dyDescent="0.25">
      <c r="A3" s="3" t="s">
        <v>0</v>
      </c>
      <c r="B3" s="6">
        <f>ROUND(0.7*C3+D3,0.5)</f>
        <v>10</v>
      </c>
      <c r="C3" s="6">
        <f>SUM(G3,L3,Q3,V3,AA3,AF3,AG3)</f>
        <v>10</v>
      </c>
      <c r="D3" s="6">
        <v>3</v>
      </c>
      <c r="E3" s="8">
        <v>2</v>
      </c>
      <c r="F3" s="8">
        <v>2</v>
      </c>
      <c r="G3" s="12">
        <v>1.5</v>
      </c>
      <c r="H3" s="10">
        <v>-1730633</v>
      </c>
      <c r="I3" s="10" t="s">
        <v>76</v>
      </c>
      <c r="J3" s="8" t="s">
        <v>77</v>
      </c>
      <c r="K3" s="14" t="s">
        <v>78</v>
      </c>
      <c r="L3" s="6">
        <v>1.5</v>
      </c>
      <c r="M3" s="8" t="s">
        <v>79</v>
      </c>
      <c r="N3" s="10">
        <v>-1735907</v>
      </c>
      <c r="O3" s="8" t="s">
        <v>80</v>
      </c>
      <c r="P3" s="8" t="s">
        <v>81</v>
      </c>
      <c r="Q3" s="6">
        <v>1.5</v>
      </c>
      <c r="R3" s="16" t="s">
        <v>87</v>
      </c>
      <c r="S3" s="8" t="s">
        <v>88</v>
      </c>
      <c r="T3" s="16" t="s">
        <v>59</v>
      </c>
      <c r="U3" s="16" t="s">
        <v>89</v>
      </c>
      <c r="V3" s="6">
        <v>1.5</v>
      </c>
      <c r="W3" s="16" t="s">
        <v>143</v>
      </c>
      <c r="X3" s="8" t="s">
        <v>144</v>
      </c>
      <c r="Y3" s="8" t="s">
        <v>145</v>
      </c>
      <c r="Z3" s="16" t="s">
        <v>146</v>
      </c>
      <c r="AA3" s="6">
        <v>1.5</v>
      </c>
      <c r="AB3" s="16" t="s">
        <v>152</v>
      </c>
      <c r="AC3" s="8" t="s">
        <v>153</v>
      </c>
      <c r="AD3" s="8" t="s">
        <v>60</v>
      </c>
      <c r="AE3" s="16" t="s">
        <v>65</v>
      </c>
      <c r="AF3" s="6">
        <v>1.5</v>
      </c>
      <c r="AG3" s="6">
        <v>1</v>
      </c>
    </row>
    <row r="4" spans="1:33" x14ac:dyDescent="0.25">
      <c r="A4" s="1" t="s">
        <v>1</v>
      </c>
      <c r="B4" s="4">
        <f t="shared" ref="B4:B16" si="0">ROUND(0.7*C4+D4,0.5)</f>
        <v>4</v>
      </c>
      <c r="C4" s="4">
        <f t="shared" ref="B4:C16" si="1">SUM(G4,L4,Q4,V4,AA4,AF4,AG4)</f>
        <v>5</v>
      </c>
      <c r="D4" s="4">
        <v>0</v>
      </c>
      <c r="E4" s="9">
        <v>1</v>
      </c>
      <c r="F4" s="9">
        <v>2</v>
      </c>
      <c r="G4" s="13">
        <v>0.5</v>
      </c>
      <c r="H4" s="9">
        <v>-1395.52</v>
      </c>
      <c r="I4" s="9">
        <v>0.81100000000000005</v>
      </c>
      <c r="J4" s="9">
        <v>0.126</v>
      </c>
      <c r="K4" s="9" t="s">
        <v>14</v>
      </c>
      <c r="L4" s="4">
        <v>0.5</v>
      </c>
      <c r="M4" s="9" t="s">
        <v>27</v>
      </c>
      <c r="N4" s="9">
        <v>-1400.0150000000001</v>
      </c>
      <c r="O4" s="9">
        <v>5000.5675000000001</v>
      </c>
      <c r="P4" s="9" t="s">
        <v>32</v>
      </c>
      <c r="Q4" s="4">
        <v>0.5</v>
      </c>
      <c r="R4" s="15" t="s">
        <v>45</v>
      </c>
      <c r="S4" s="9">
        <v>2.9999999999999997E-4</v>
      </c>
      <c r="T4" s="15" t="s">
        <v>58</v>
      </c>
      <c r="U4" s="15" t="s">
        <v>61</v>
      </c>
      <c r="V4" s="4">
        <v>1.5</v>
      </c>
      <c r="W4" s="15" t="s">
        <v>95</v>
      </c>
      <c r="X4" s="9" t="s">
        <v>96</v>
      </c>
      <c r="Y4" s="9">
        <v>0.34789999999999999</v>
      </c>
      <c r="Z4" s="15" t="s">
        <v>97</v>
      </c>
      <c r="AA4" s="4">
        <v>0</v>
      </c>
      <c r="AB4" s="15" t="s">
        <v>98</v>
      </c>
      <c r="AC4" s="9">
        <v>0.66180000000000005</v>
      </c>
      <c r="AD4" s="9" t="s">
        <v>99</v>
      </c>
      <c r="AE4" s="15" t="s">
        <v>100</v>
      </c>
      <c r="AF4" s="4">
        <v>1</v>
      </c>
      <c r="AG4" s="4">
        <v>1</v>
      </c>
    </row>
    <row r="5" spans="1:33" x14ac:dyDescent="0.25">
      <c r="A5" s="1" t="s">
        <v>2</v>
      </c>
      <c r="B5" s="4">
        <f t="shared" si="0"/>
        <v>4</v>
      </c>
      <c r="C5" s="4">
        <f t="shared" si="1"/>
        <v>5.5</v>
      </c>
      <c r="D5" s="4">
        <v>0</v>
      </c>
      <c r="E5" s="9">
        <v>1</v>
      </c>
      <c r="F5" s="9">
        <v>2</v>
      </c>
      <c r="G5" s="13">
        <v>0.5</v>
      </c>
      <c r="H5" s="9">
        <v>1135.268</v>
      </c>
      <c r="I5" s="9">
        <v>0.60399999999999998</v>
      </c>
      <c r="J5" s="9">
        <v>3.2000000000000001E-2</v>
      </c>
      <c r="K5" s="9" t="s">
        <v>15</v>
      </c>
      <c r="L5" s="4">
        <v>0.5</v>
      </c>
      <c r="M5" s="9" t="s">
        <v>28</v>
      </c>
      <c r="N5" s="9">
        <v>1130.374</v>
      </c>
      <c r="O5" s="9">
        <v>56.749000000000002</v>
      </c>
      <c r="P5" s="9" t="s">
        <v>33</v>
      </c>
      <c r="Q5" s="4">
        <v>0.5</v>
      </c>
      <c r="R5" s="15" t="s">
        <v>46</v>
      </c>
      <c r="S5" s="9">
        <v>2.9999999999999997E-4</v>
      </c>
      <c r="T5" s="15" t="s">
        <v>59</v>
      </c>
      <c r="U5" s="15" t="s">
        <v>62</v>
      </c>
      <c r="V5" s="4">
        <v>1.5</v>
      </c>
      <c r="W5" s="15" t="s">
        <v>101</v>
      </c>
      <c r="X5" s="9" t="s">
        <v>102</v>
      </c>
      <c r="Y5" s="9">
        <v>7.3000000000000001E-3</v>
      </c>
      <c r="Z5" s="15" t="s">
        <v>103</v>
      </c>
      <c r="AA5" s="4">
        <v>1.5</v>
      </c>
      <c r="AB5" s="15" t="s">
        <v>104</v>
      </c>
      <c r="AC5" s="9">
        <v>0.7198</v>
      </c>
      <c r="AD5" s="9" t="s">
        <v>60</v>
      </c>
      <c r="AE5" s="15" t="s">
        <v>65</v>
      </c>
      <c r="AF5" s="4">
        <v>0</v>
      </c>
      <c r="AG5" s="4">
        <v>1</v>
      </c>
    </row>
    <row r="6" spans="1:33" x14ac:dyDescent="0.25">
      <c r="A6" s="1" t="s">
        <v>3</v>
      </c>
      <c r="B6" s="4">
        <f t="shared" si="0"/>
        <v>3</v>
      </c>
      <c r="C6" s="4">
        <f t="shared" si="1"/>
        <v>4</v>
      </c>
      <c r="D6" s="4">
        <v>0</v>
      </c>
      <c r="E6" s="9">
        <v>1</v>
      </c>
      <c r="F6" s="9">
        <v>2</v>
      </c>
      <c r="G6" s="13">
        <v>0.5</v>
      </c>
      <c r="H6" s="9">
        <v>-1736.672</v>
      </c>
      <c r="I6" s="9">
        <v>0.06</v>
      </c>
      <c r="J6" s="9">
        <v>3.2000000000000001E-2</v>
      </c>
      <c r="K6" s="9" t="s">
        <v>16</v>
      </c>
      <c r="L6" s="4">
        <v>0.5</v>
      </c>
      <c r="M6" s="9" t="s">
        <v>27</v>
      </c>
      <c r="N6" s="9">
        <v>-1738.6469999999999</v>
      </c>
      <c r="O6" s="9">
        <v>5.6749000000000001</v>
      </c>
      <c r="P6" s="9" t="s">
        <v>34</v>
      </c>
      <c r="Q6" s="4">
        <v>0.5</v>
      </c>
      <c r="R6" s="15" t="s">
        <v>47</v>
      </c>
      <c r="S6" s="9">
        <v>2.9999999999999997E-4</v>
      </c>
      <c r="T6" s="15" t="s">
        <v>59</v>
      </c>
      <c r="U6" s="15" t="s">
        <v>63</v>
      </c>
      <c r="V6" s="4">
        <v>1.5</v>
      </c>
      <c r="W6" s="15" t="s">
        <v>105</v>
      </c>
      <c r="X6" s="9" t="s">
        <v>106</v>
      </c>
      <c r="Y6" s="9">
        <v>1</v>
      </c>
      <c r="Z6" s="15" t="s">
        <v>107</v>
      </c>
      <c r="AA6" s="4">
        <v>0</v>
      </c>
      <c r="AB6" s="15" t="s">
        <v>108</v>
      </c>
      <c r="AC6" s="9">
        <v>0.7198</v>
      </c>
      <c r="AD6" s="9" t="s">
        <v>60</v>
      </c>
      <c r="AE6" s="15" t="s">
        <v>65</v>
      </c>
      <c r="AF6" s="4">
        <v>0</v>
      </c>
      <c r="AG6" s="4">
        <v>1</v>
      </c>
    </row>
    <row r="7" spans="1:33" x14ac:dyDescent="0.25">
      <c r="A7" s="1" t="s">
        <v>4</v>
      </c>
      <c r="B7" s="4">
        <f t="shared" si="0"/>
        <v>2</v>
      </c>
      <c r="C7" s="4">
        <f t="shared" si="1"/>
        <v>3.5</v>
      </c>
      <c r="D7" s="4">
        <v>0</v>
      </c>
      <c r="E7" s="9">
        <v>1</v>
      </c>
      <c r="F7" s="9">
        <v>0</v>
      </c>
      <c r="G7" s="13">
        <v>0.5</v>
      </c>
      <c r="H7" s="9">
        <v>-1215.8040000000001</v>
      </c>
      <c r="I7" s="9">
        <v>9.0999999999999998E-2</v>
      </c>
      <c r="J7" s="9">
        <v>3.0000000000000001E-3</v>
      </c>
      <c r="K7" s="9" t="s">
        <v>17</v>
      </c>
      <c r="L7" s="4">
        <v>0.5</v>
      </c>
      <c r="M7" s="9" t="s">
        <v>29</v>
      </c>
      <c r="N7" s="9">
        <v>-1626.8119999999999</v>
      </c>
      <c r="O7" s="9">
        <v>2434.1023</v>
      </c>
      <c r="P7" s="9" t="s">
        <v>35</v>
      </c>
      <c r="Q7" s="4">
        <v>0</v>
      </c>
      <c r="R7" s="15" t="s">
        <v>48</v>
      </c>
      <c r="S7" s="9">
        <v>2.9999999999999997E-4</v>
      </c>
      <c r="T7" s="15" t="s">
        <v>59</v>
      </c>
      <c r="U7" s="15" t="s">
        <v>63</v>
      </c>
      <c r="V7" s="4">
        <v>1.5</v>
      </c>
      <c r="W7" s="15" t="s">
        <v>109</v>
      </c>
      <c r="X7" s="9" t="s">
        <v>106</v>
      </c>
      <c r="Y7" s="9">
        <v>0.89339999999999997</v>
      </c>
      <c r="Z7" s="15" t="s">
        <v>110</v>
      </c>
      <c r="AA7" s="4">
        <v>0</v>
      </c>
      <c r="AB7" s="15" t="s">
        <v>111</v>
      </c>
      <c r="AC7" s="9">
        <v>0.7198</v>
      </c>
      <c r="AD7" s="9" t="s">
        <v>60</v>
      </c>
      <c r="AE7" s="15" t="s">
        <v>65</v>
      </c>
      <c r="AF7" s="4">
        <v>0</v>
      </c>
      <c r="AG7" s="4">
        <v>1</v>
      </c>
    </row>
    <row r="8" spans="1:33" x14ac:dyDescent="0.25">
      <c r="A8" s="1" t="s">
        <v>5</v>
      </c>
      <c r="B8" s="4">
        <f t="shared" si="0"/>
        <v>4</v>
      </c>
      <c r="C8" s="4">
        <f t="shared" si="1"/>
        <v>4</v>
      </c>
      <c r="D8" s="4">
        <v>1</v>
      </c>
      <c r="E8" s="9">
        <v>1</v>
      </c>
      <c r="F8" s="9">
        <v>2</v>
      </c>
      <c r="G8" s="13">
        <v>0.5</v>
      </c>
      <c r="H8" s="9">
        <v>-1733.75</v>
      </c>
      <c r="I8" s="9">
        <v>6.0400000000000002E-2</v>
      </c>
      <c r="J8" s="9">
        <v>3.23</v>
      </c>
      <c r="K8" s="9" t="s">
        <v>18</v>
      </c>
      <c r="L8" s="4">
        <v>0.5</v>
      </c>
      <c r="M8" s="9" t="s">
        <v>27</v>
      </c>
      <c r="N8" s="9">
        <v>-1738.65</v>
      </c>
      <c r="O8" s="9">
        <v>5.6749000000000001</v>
      </c>
      <c r="P8" s="9" t="s">
        <v>36</v>
      </c>
      <c r="Q8" s="4">
        <v>0.5</v>
      </c>
      <c r="R8" s="15" t="s">
        <v>49</v>
      </c>
      <c r="S8" s="9">
        <v>2.9999999999999997E-4</v>
      </c>
      <c r="T8" s="15" t="s">
        <v>59</v>
      </c>
      <c r="U8" s="15" t="s">
        <v>63</v>
      </c>
      <c r="V8" s="4">
        <v>1.5</v>
      </c>
      <c r="W8" s="15" t="s">
        <v>112</v>
      </c>
      <c r="X8" s="9" t="s">
        <v>106</v>
      </c>
      <c r="Y8" s="9">
        <v>0.96309999999999996</v>
      </c>
      <c r="Z8" s="15" t="s">
        <v>113</v>
      </c>
      <c r="AA8" s="4">
        <v>0</v>
      </c>
      <c r="AB8" s="15" t="s">
        <v>114</v>
      </c>
      <c r="AC8" s="9">
        <v>0.7198</v>
      </c>
      <c r="AD8" s="9" t="s">
        <v>60</v>
      </c>
      <c r="AE8" s="15" t="s">
        <v>65</v>
      </c>
      <c r="AF8" s="4">
        <v>0</v>
      </c>
      <c r="AG8" s="4">
        <v>1</v>
      </c>
    </row>
    <row r="9" spans="1:33" x14ac:dyDescent="0.25">
      <c r="A9" s="1" t="s">
        <v>6</v>
      </c>
      <c r="B9" s="4">
        <f t="shared" si="0"/>
        <v>4</v>
      </c>
      <c r="C9" s="4">
        <f t="shared" si="1"/>
        <v>4</v>
      </c>
      <c r="D9" s="4">
        <v>1.5</v>
      </c>
      <c r="E9" s="9">
        <v>1</v>
      </c>
      <c r="F9" s="9">
        <v>2</v>
      </c>
      <c r="G9" s="13">
        <v>0.5</v>
      </c>
      <c r="H9" s="9">
        <v>-1733.752</v>
      </c>
      <c r="I9" s="9">
        <v>0.06</v>
      </c>
      <c r="J9" s="9">
        <v>3.2000000000000001E-2</v>
      </c>
      <c r="K9" s="9" t="s">
        <v>19</v>
      </c>
      <c r="L9" s="4">
        <v>0.5</v>
      </c>
      <c r="M9" s="9" t="s">
        <v>28</v>
      </c>
      <c r="N9" s="9">
        <v>-1738.6469999999999</v>
      </c>
      <c r="O9" s="9">
        <v>5.6749000000000001</v>
      </c>
      <c r="P9" s="9" t="s">
        <v>37</v>
      </c>
      <c r="Q9" s="4">
        <v>0.5</v>
      </c>
      <c r="R9" s="15" t="s">
        <v>50</v>
      </c>
      <c r="S9" s="9">
        <v>2.5599999999999999E-4</v>
      </c>
      <c r="T9" s="15" t="s">
        <v>59</v>
      </c>
      <c r="U9" s="15" t="s">
        <v>64</v>
      </c>
      <c r="V9" s="4">
        <v>1.5</v>
      </c>
      <c r="W9" s="15" t="s">
        <v>115</v>
      </c>
      <c r="X9" s="9" t="s">
        <v>116</v>
      </c>
      <c r="Y9" s="9">
        <v>2.9708682298769148E-17</v>
      </c>
      <c r="Z9" s="15" t="s">
        <v>117</v>
      </c>
      <c r="AA9" s="4">
        <v>0</v>
      </c>
      <c r="AB9" s="15" t="s">
        <v>118</v>
      </c>
      <c r="AC9" s="9">
        <v>0.15679999999999999</v>
      </c>
      <c r="AD9" s="9" t="s">
        <v>60</v>
      </c>
      <c r="AE9" s="15" t="s">
        <v>65</v>
      </c>
      <c r="AF9" s="4">
        <v>0</v>
      </c>
      <c r="AG9" s="4">
        <v>1</v>
      </c>
    </row>
    <row r="10" spans="1:33" x14ac:dyDescent="0.25">
      <c r="A10" s="1" t="s">
        <v>7</v>
      </c>
      <c r="B10" s="4">
        <f t="shared" si="0"/>
        <v>4</v>
      </c>
      <c r="C10" s="4">
        <f t="shared" si="1"/>
        <v>5</v>
      </c>
      <c r="D10" s="4">
        <v>0</v>
      </c>
      <c r="E10" s="9">
        <v>1</v>
      </c>
      <c r="F10" s="9">
        <v>2</v>
      </c>
      <c r="G10" s="13">
        <v>0.5</v>
      </c>
      <c r="H10" s="9">
        <v>-1735.75</v>
      </c>
      <c r="I10" s="9">
        <v>6.0400000000000002E-2</v>
      </c>
      <c r="J10" s="9">
        <v>3.23</v>
      </c>
      <c r="K10" s="9" t="s">
        <v>20</v>
      </c>
      <c r="L10" s="4">
        <v>0.5</v>
      </c>
      <c r="M10" s="9" t="s">
        <v>28</v>
      </c>
      <c r="N10" s="9">
        <v>-1738.65</v>
      </c>
      <c r="O10" s="9">
        <v>5.6749000000000001</v>
      </c>
      <c r="P10" s="9" t="s">
        <v>38</v>
      </c>
      <c r="Q10" s="4">
        <v>0.5</v>
      </c>
      <c r="R10" s="15" t="s">
        <v>51</v>
      </c>
      <c r="S10" s="9">
        <v>2.9999999999999997E-4</v>
      </c>
      <c r="T10" s="15" t="s">
        <v>59</v>
      </c>
      <c r="U10" s="15" t="s">
        <v>63</v>
      </c>
      <c r="V10" s="4">
        <v>1.5</v>
      </c>
      <c r="W10" s="15" t="s">
        <v>119</v>
      </c>
      <c r="X10" s="9" t="s">
        <v>120</v>
      </c>
      <c r="Y10" s="9">
        <v>0.3735</v>
      </c>
      <c r="Z10" s="15" t="s">
        <v>121</v>
      </c>
      <c r="AA10" s="4">
        <v>1.5</v>
      </c>
      <c r="AB10" s="15" t="s">
        <v>108</v>
      </c>
      <c r="AC10" s="9">
        <v>0.7198</v>
      </c>
      <c r="AD10" s="9" t="s">
        <v>60</v>
      </c>
      <c r="AE10" s="15" t="s">
        <v>65</v>
      </c>
      <c r="AF10" s="4">
        <v>0</v>
      </c>
      <c r="AG10" s="4">
        <v>0.5</v>
      </c>
    </row>
    <row r="11" spans="1:33" x14ac:dyDescent="0.25">
      <c r="A11" s="1" t="s">
        <v>8</v>
      </c>
      <c r="B11" s="4">
        <f t="shared" si="0"/>
        <v>3</v>
      </c>
      <c r="C11" s="4">
        <f t="shared" si="1"/>
        <v>3</v>
      </c>
      <c r="D11" s="4">
        <v>0.5</v>
      </c>
      <c r="E11" s="9">
        <v>2</v>
      </c>
      <c r="F11" s="9">
        <v>1</v>
      </c>
      <c r="G11" s="13">
        <v>1</v>
      </c>
      <c r="H11" s="9">
        <v>-1713.943</v>
      </c>
      <c r="I11" s="9">
        <v>6.2E-2</v>
      </c>
      <c r="J11" s="9">
        <v>0.33200000000000002</v>
      </c>
      <c r="K11" s="9" t="s">
        <v>21</v>
      </c>
      <c r="L11" s="4">
        <v>0.5</v>
      </c>
      <c r="M11" s="9" t="s">
        <v>30</v>
      </c>
      <c r="N11" s="9">
        <v>-1735.9069999999999</v>
      </c>
      <c r="O11" s="9">
        <v>2440.1556999999998</v>
      </c>
      <c r="P11" s="9" t="s">
        <v>39</v>
      </c>
      <c r="Q11" s="4">
        <v>0.5</v>
      </c>
      <c r="R11" s="15" t="s">
        <v>52</v>
      </c>
      <c r="S11" s="9">
        <v>2.9999999999999997E-4</v>
      </c>
      <c r="T11" s="15" t="s">
        <v>59</v>
      </c>
      <c r="U11" s="15" t="s">
        <v>65</v>
      </c>
      <c r="V11" s="4">
        <v>0</v>
      </c>
      <c r="W11" s="15" t="s">
        <v>122</v>
      </c>
      <c r="X11" s="9" t="s">
        <v>123</v>
      </c>
      <c r="Y11" s="9">
        <v>0.89339999999999997</v>
      </c>
      <c r="Z11" s="15" t="s">
        <v>124</v>
      </c>
      <c r="AA11" s="4">
        <v>0</v>
      </c>
      <c r="AB11" s="15" t="s">
        <v>125</v>
      </c>
      <c r="AC11" s="9">
        <v>0.7198</v>
      </c>
      <c r="AD11" s="9" t="s">
        <v>126</v>
      </c>
      <c r="AE11" s="15" t="s">
        <v>65</v>
      </c>
      <c r="AF11" s="4">
        <v>0</v>
      </c>
      <c r="AG11" s="4">
        <v>1</v>
      </c>
    </row>
    <row r="12" spans="1:33" x14ac:dyDescent="0.25">
      <c r="A12" s="1" t="s">
        <v>9</v>
      </c>
      <c r="B12" s="4">
        <f t="shared" si="0"/>
        <v>2</v>
      </c>
      <c r="C12" s="4">
        <f t="shared" si="1"/>
        <v>3.5</v>
      </c>
      <c r="D12" s="4">
        <v>0</v>
      </c>
      <c r="E12" s="9">
        <v>1</v>
      </c>
      <c r="F12" s="9">
        <v>2</v>
      </c>
      <c r="G12" s="13">
        <v>0.5</v>
      </c>
      <c r="H12" s="9">
        <v>-1733.7529999999999</v>
      </c>
      <c r="I12" s="9">
        <v>0.06</v>
      </c>
      <c r="J12" s="9">
        <v>3.1E-2</v>
      </c>
      <c r="K12" s="9" t="s">
        <v>22</v>
      </c>
      <c r="L12" s="4">
        <v>0.5</v>
      </c>
      <c r="M12" s="9" t="s">
        <v>28</v>
      </c>
      <c r="N12" s="9">
        <v>-1738.6469999999999</v>
      </c>
      <c r="O12" s="9">
        <v>5.6749000000000001</v>
      </c>
      <c r="P12" s="9" t="s">
        <v>40</v>
      </c>
      <c r="Q12" s="4">
        <v>0.5</v>
      </c>
      <c r="R12" s="15" t="s">
        <v>53</v>
      </c>
      <c r="S12" s="9">
        <v>2.9999999999999997E-4</v>
      </c>
      <c r="T12" s="15" t="s">
        <v>59</v>
      </c>
      <c r="U12" s="15" t="s">
        <v>63</v>
      </c>
      <c r="V12" s="4">
        <v>1.5</v>
      </c>
      <c r="W12" s="15" t="s">
        <v>127</v>
      </c>
      <c r="X12" s="9" t="s">
        <v>106</v>
      </c>
      <c r="Y12" s="9">
        <v>0.89339999999999997</v>
      </c>
      <c r="Z12" s="15" t="s">
        <v>128</v>
      </c>
      <c r="AA12" s="4">
        <v>0</v>
      </c>
      <c r="AB12" s="15" t="s">
        <v>129</v>
      </c>
      <c r="AC12" s="9">
        <v>0.7198</v>
      </c>
      <c r="AD12" s="9" t="s">
        <v>60</v>
      </c>
      <c r="AE12" s="15" t="s">
        <v>65</v>
      </c>
      <c r="AF12" s="4">
        <v>0</v>
      </c>
      <c r="AG12" s="4">
        <v>0.5</v>
      </c>
    </row>
    <row r="13" spans="1:33" x14ac:dyDescent="0.25">
      <c r="A13" s="1" t="s">
        <v>10</v>
      </c>
      <c r="B13" s="4">
        <f t="shared" si="0"/>
        <v>4</v>
      </c>
      <c r="C13" s="4">
        <f t="shared" si="1"/>
        <v>3</v>
      </c>
      <c r="D13" s="4">
        <v>1.5</v>
      </c>
      <c r="E13" s="9">
        <v>1</v>
      </c>
      <c r="F13" s="9">
        <v>2</v>
      </c>
      <c r="G13" s="13">
        <v>0.5</v>
      </c>
      <c r="H13" s="9">
        <v>-1733.7529999999999</v>
      </c>
      <c r="I13" s="9">
        <v>0.06</v>
      </c>
      <c r="J13" s="9">
        <v>3.1E-2</v>
      </c>
      <c r="K13" s="9" t="s">
        <v>23</v>
      </c>
      <c r="L13" s="4">
        <v>0.5</v>
      </c>
      <c r="M13" s="9" t="s">
        <v>27</v>
      </c>
      <c r="N13" s="9">
        <v>-1738.6469999999999</v>
      </c>
      <c r="O13" s="9">
        <v>5.6749000000000001</v>
      </c>
      <c r="P13" s="9" t="s">
        <v>41</v>
      </c>
      <c r="Q13" s="4">
        <v>0.5</v>
      </c>
      <c r="R13" s="15" t="s">
        <v>54</v>
      </c>
      <c r="S13" s="9">
        <v>2.9999999999999997E-4</v>
      </c>
      <c r="T13" s="15" t="s">
        <v>60</v>
      </c>
      <c r="U13" s="15" t="s">
        <v>66</v>
      </c>
      <c r="V13" s="4">
        <v>0.5</v>
      </c>
      <c r="W13" s="15" t="s">
        <v>130</v>
      </c>
      <c r="X13" s="9" t="s">
        <v>131</v>
      </c>
      <c r="Y13" s="9">
        <v>0</v>
      </c>
      <c r="Z13" s="15" t="s">
        <v>132</v>
      </c>
      <c r="AA13" s="4">
        <v>1</v>
      </c>
      <c r="AB13" s="15" t="s">
        <v>133</v>
      </c>
      <c r="AC13" s="9">
        <v>0.7198</v>
      </c>
      <c r="AD13" s="9" t="s">
        <v>60</v>
      </c>
      <c r="AE13" s="15" t="s">
        <v>65</v>
      </c>
      <c r="AF13" s="4">
        <v>0</v>
      </c>
      <c r="AG13" s="4">
        <v>0</v>
      </c>
    </row>
    <row r="14" spans="1:33" x14ac:dyDescent="0.25">
      <c r="A14" s="1" t="s">
        <v>11</v>
      </c>
      <c r="B14" s="4">
        <f t="shared" si="0"/>
        <v>3</v>
      </c>
      <c r="C14" s="4">
        <f t="shared" si="1"/>
        <v>4</v>
      </c>
      <c r="D14" s="4">
        <v>0.5</v>
      </c>
      <c r="E14" s="9">
        <v>1</v>
      </c>
      <c r="F14" s="9">
        <v>6</v>
      </c>
      <c r="G14" s="13">
        <v>0</v>
      </c>
      <c r="H14" s="9">
        <v>-1733.7529999999999</v>
      </c>
      <c r="I14" s="9">
        <v>6.0449000000000003E-2</v>
      </c>
      <c r="J14" s="9">
        <v>3.2344999999999999E-2</v>
      </c>
      <c r="K14" s="9" t="s">
        <v>24</v>
      </c>
      <c r="L14" s="4">
        <v>0</v>
      </c>
      <c r="M14" s="9" t="s">
        <v>28</v>
      </c>
      <c r="N14" s="9">
        <v>-1738.6474880000001</v>
      </c>
      <c r="O14" s="9">
        <v>5.6749080000000003</v>
      </c>
      <c r="P14" s="9" t="s">
        <v>42</v>
      </c>
      <c r="Q14" s="4">
        <v>0</v>
      </c>
      <c r="R14" s="15" t="s">
        <v>55</v>
      </c>
      <c r="S14" s="9">
        <v>2.5574119999999999E-4</v>
      </c>
      <c r="T14" s="15" t="s">
        <v>59</v>
      </c>
      <c r="U14" s="15" t="s">
        <v>67</v>
      </c>
      <c r="V14" s="4">
        <v>1.5</v>
      </c>
      <c r="W14" s="15" t="s">
        <v>134</v>
      </c>
      <c r="X14" s="9" t="s">
        <v>135</v>
      </c>
      <c r="Y14" s="9">
        <v>8.9190476699999993E-2</v>
      </c>
      <c r="Z14" s="15" t="s">
        <v>136</v>
      </c>
      <c r="AA14" s="4">
        <v>1.5</v>
      </c>
      <c r="AB14" s="15" t="s">
        <v>118</v>
      </c>
      <c r="AC14" s="9">
        <v>0.1567753835</v>
      </c>
      <c r="AD14" s="9" t="s">
        <v>60</v>
      </c>
      <c r="AE14" s="15" t="s">
        <v>65</v>
      </c>
      <c r="AF14" s="4">
        <v>0</v>
      </c>
      <c r="AG14" s="4">
        <v>1</v>
      </c>
    </row>
    <row r="15" spans="1:33" x14ac:dyDescent="0.25">
      <c r="A15" s="1" t="s">
        <v>12</v>
      </c>
      <c r="B15" s="4">
        <f t="shared" si="0"/>
        <v>2</v>
      </c>
      <c r="C15" s="4">
        <f t="shared" si="1"/>
        <v>2.5</v>
      </c>
      <c r="D15" s="4">
        <v>0.5</v>
      </c>
      <c r="E15" s="9">
        <v>1</v>
      </c>
      <c r="F15" s="9">
        <v>2</v>
      </c>
      <c r="G15" s="13">
        <v>0.5</v>
      </c>
      <c r="H15" s="9">
        <v>-1559.3420000000001</v>
      </c>
      <c r="I15" s="9">
        <v>0.42199999999999999</v>
      </c>
      <c r="J15" s="9">
        <v>5.8929999999999998</v>
      </c>
      <c r="K15" s="9" t="s">
        <v>25</v>
      </c>
      <c r="L15" s="4">
        <v>0.5</v>
      </c>
      <c r="M15" s="9" t="s">
        <v>31</v>
      </c>
      <c r="N15" s="9">
        <v>-1562.404</v>
      </c>
      <c r="O15" s="9">
        <v>5.6210000000000004</v>
      </c>
      <c r="P15" s="9" t="s">
        <v>43</v>
      </c>
      <c r="Q15" s="4">
        <v>0</v>
      </c>
      <c r="R15" s="15" t="s">
        <v>56</v>
      </c>
      <c r="S15" s="9">
        <v>2.9999999999999997E-4</v>
      </c>
      <c r="T15" s="15" t="s">
        <v>59</v>
      </c>
      <c r="U15" s="15" t="s">
        <v>63</v>
      </c>
      <c r="V15" s="4">
        <v>1.5</v>
      </c>
      <c r="W15" s="15" t="s">
        <v>137</v>
      </c>
      <c r="X15" s="9" t="s">
        <v>106</v>
      </c>
      <c r="Y15" s="9">
        <v>0.89339999999999997</v>
      </c>
      <c r="Z15" s="15" t="s">
        <v>138</v>
      </c>
      <c r="AA15" s="4">
        <v>0</v>
      </c>
      <c r="AB15" s="15" t="s">
        <v>108</v>
      </c>
      <c r="AC15" s="9">
        <v>0.7198</v>
      </c>
      <c r="AD15" s="9" t="s">
        <v>60</v>
      </c>
      <c r="AE15" s="15" t="s">
        <v>65</v>
      </c>
      <c r="AF15" s="4">
        <v>0</v>
      </c>
      <c r="AG15" s="4">
        <v>0</v>
      </c>
    </row>
    <row r="16" spans="1:33" x14ac:dyDescent="0.25">
      <c r="A16" s="1" t="s">
        <v>13</v>
      </c>
      <c r="B16" s="4">
        <f t="shared" si="0"/>
        <v>2</v>
      </c>
      <c r="C16" s="4">
        <f t="shared" si="1"/>
        <v>3</v>
      </c>
      <c r="D16" s="4">
        <v>0</v>
      </c>
      <c r="E16" s="9">
        <v>1</v>
      </c>
      <c r="F16" s="9">
        <v>2</v>
      </c>
      <c r="G16" s="13">
        <v>0.5</v>
      </c>
      <c r="H16" s="9">
        <v>-1733.7529999999999</v>
      </c>
      <c r="I16" s="9">
        <v>0.06</v>
      </c>
      <c r="J16" s="9">
        <v>3.0790000000000002</v>
      </c>
      <c r="K16" s="9" t="s">
        <v>26</v>
      </c>
      <c r="L16" s="4">
        <v>0.5</v>
      </c>
      <c r="M16" s="9" t="s">
        <v>28</v>
      </c>
      <c r="N16" s="9">
        <v>-1738.6469999999999</v>
      </c>
      <c r="O16" s="9">
        <v>5.6749000000000001</v>
      </c>
      <c r="P16" s="9" t="s">
        <v>44</v>
      </c>
      <c r="Q16" s="4">
        <v>0.5</v>
      </c>
      <c r="R16" s="15" t="s">
        <v>57</v>
      </c>
      <c r="S16" s="9">
        <v>0</v>
      </c>
      <c r="T16" s="15" t="s">
        <v>59</v>
      </c>
      <c r="U16" s="15" t="s">
        <v>65</v>
      </c>
      <c r="V16" s="4">
        <v>0.5</v>
      </c>
      <c r="W16" s="15" t="s">
        <v>139</v>
      </c>
      <c r="X16" s="9" t="s">
        <v>140</v>
      </c>
      <c r="Y16" s="9">
        <v>4.1000000000000003E-3</v>
      </c>
      <c r="Z16" s="15" t="s">
        <v>141</v>
      </c>
      <c r="AA16" s="4">
        <v>1</v>
      </c>
      <c r="AB16" s="15" t="s">
        <v>142</v>
      </c>
      <c r="AC16" s="9">
        <v>0.7198</v>
      </c>
      <c r="AD16" s="9" t="s">
        <v>60</v>
      </c>
      <c r="AE16" s="15" t="s">
        <v>65</v>
      </c>
      <c r="AF16" s="4">
        <v>0</v>
      </c>
      <c r="AG1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DE OLIVEIRA</cp:lastModifiedBy>
  <dcterms:created xsi:type="dcterms:W3CDTF">2026-08-27T15:28:38Z</dcterms:created>
  <dcterms:modified xsi:type="dcterms:W3CDTF">2026-08-28T15:57:00Z</dcterms:modified>
</cp:coreProperties>
</file>