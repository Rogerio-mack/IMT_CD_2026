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User\Documents\ano_2026S1\CD\"/>
    </mc:Choice>
  </mc:AlternateContent>
  <xr:revisionPtr revIDLastSave="0" documentId="13_ncr:1_{2769239C-C3CB-41A1-AE68-DADBFF33384E}" xr6:coauthVersionLast="47" xr6:coauthVersionMax="47" xr10:uidLastSave="{00000000-0000-0000-0000-000000000000}"/>
  <bookViews>
    <workbookView xWindow="20370" yWindow="-120" windowWidth="29040" windowHeight="15720" xr2:uid="{0C2F1CCB-F4E9-4A1E-A569-3030BD86DA44}"/>
  </bookViews>
  <sheets>
    <sheet name="Ex31" sheetId="1" r:id="rId1"/>
    <sheet name="Ex32" sheetId="2" r:id="rId2"/>
    <sheet name="P3" sheetId="3" r:id="rId3"/>
    <sheet name="Notas B3" sheetId="5" r:id="rId4"/>
    <sheet name="Todas Notas" sheetId="8" r:id="rId5"/>
  </sheets>
  <definedNames>
    <definedName name="_xlnm._FilterDatabase" localSheetId="4" hidden="1">'Todas Notas'!$A$1:$Q$39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3" i="5" l="1"/>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759943-C9C9-4B85-951B-E6D8C23B7BD5}" keepAlive="1" name="Query - B3_nota5" description="Connection to the 'B3_nota5' query in the workbook." type="5" refreshedVersion="0" background="1">
    <dbPr connection="Provider=Microsoft.Mashup.OleDb.1;Data Source=$Workbook$;Location=B3_nota5;Extended Properties=&quot;&quot;" command="SELECT * FROM [B3_nota5]"/>
  </connection>
  <connection id="2" xr16:uid="{737977A5-325D-4B88-A210-91F8169CD22D}" keepAlive="1" name="Query - B3_notas" description="Connection to the 'B3_notas' query in the workbook." type="5" refreshedVersion="0" background="1">
    <dbPr connection="Provider=Microsoft.Mashup.OleDb.1;Data Source=$Workbook$;Location=B3_notas;Extended Properties=&quot;&quot;" command="SELECT * FROM [B3_notas]"/>
  </connection>
</connections>
</file>

<file path=xl/sharedStrings.xml><?xml version="1.0" encoding="utf-8"?>
<sst xmlns="http://schemas.openxmlformats.org/spreadsheetml/2006/main" count="1793" uniqueCount="822">
  <si>
    <t>Carimbo de data/hora</t>
  </si>
  <si>
    <t>Endereço de e-mail</t>
  </si>
  <si>
    <t>Nome (COMPLETO)</t>
  </si>
  <si>
    <t>RA</t>
  </si>
  <si>
    <t>Faça o upload do seu notebook IMT_CD_EX_31_&lt;seu_nome&gt;.ipynb aqui. 
O notebook deve estar 100% executável, do início ao fim.</t>
  </si>
  <si>
    <t>Faça o upload do seu arquivo de respostas (.pkl) aqui.</t>
  </si>
  <si>
    <t>Qual modelo obteve o melhor resultado? 
Ex.: ElasticNet(alpha=0.1)</t>
  </si>
  <si>
    <t>Q1</t>
  </si>
  <si>
    <t>Qual o melhor R2 obtido? 
Ex.: 0.98</t>
  </si>
  <si>
    <t>Q2</t>
  </si>
  <si>
    <t>Empregou transformação de valores variáveis*? Informe aqui a principal ou None.
Ex.: np.exp(nr_quartos)
*Não informe transformações de normalização, hot/label encode. Se não empregou transformação de valores informe None</t>
  </si>
  <si>
    <t>Q3</t>
  </si>
  <si>
    <t>Empregou variáveis de interação? Informe quais ou None.
Ex.: garagem::banheiros, garagem::varanda</t>
  </si>
  <si>
    <t>Q4</t>
  </si>
  <si>
    <t>Cite o atributo menos determinante para o preço dos imóveis.
Ex.: varanda</t>
  </si>
  <si>
    <t>Q5</t>
  </si>
  <si>
    <t>Empregue este espaço se precisar fazer alguma observação pertinente sobre as suas respostas e arquivos.</t>
  </si>
  <si>
    <t>acramin@gmail.com</t>
  </si>
  <si>
    <t>Amanda Carolina Ambrizzi Ramin</t>
  </si>
  <si>
    <t>22.00721-0</t>
  </si>
  <si>
    <t>https://drive.google.com/open?id=1585he2L47Q597ZLbD89-cIvj82wOx6tg</t>
  </si>
  <si>
    <t>https://drive.google.com/open?id=1BqHJ44U7nyJuCY7VVKXXSVBX4GJFeOBG</t>
  </si>
  <si>
    <t>LinearRegression()</t>
  </si>
  <si>
    <t>0.76</t>
  </si>
  <si>
    <t>np.log1p(data['price'])</t>
  </si>
  <si>
    <t>None</t>
  </si>
  <si>
    <t>seguranca_24h</t>
  </si>
  <si>
    <t>andrefelipesx@gmail.com</t>
  </si>
  <si>
    <t>André Felipe Silva Xavier</t>
  </si>
  <si>
    <t>22.01339-3</t>
  </si>
  <si>
    <t>https://drive.google.com/open?id=1PgGcukBmSt3qw1UY4LxgDGV_xqqPNcBP</t>
  </si>
  <si>
    <t>https://drive.google.com/open?id=1kHKfguzw_03fEGdDpYug8lkMsxExnn9o</t>
  </si>
  <si>
    <t>np.log(price)</t>
  </si>
  <si>
    <t>area_util::zona, condominio::zona, area_util::categoria, area_util::banheiros, area_util::vagas_na_garagem</t>
  </si>
  <si>
    <t>academia</t>
  </si>
  <si>
    <t>andreprino0@gmail.com</t>
  </si>
  <si>
    <t>André Freire Prino</t>
  </si>
  <si>
    <t>21.00476-5</t>
  </si>
  <si>
    <t>https://drive.google.com/open?id=1Wh4SP3UYqZWpB4XLvYuhh1_HyFFgFxqZ</t>
  </si>
  <si>
    <t>https://drive.google.com/open?id=1eYS4XviWpjCtCxiEECz8MTkjbNZEEAIO</t>
  </si>
  <si>
    <t>OLS</t>
  </si>
  <si>
    <t>df['log_price'] = np.log(df['price']) formula = ('log_price ~ np.log1p(area_util) + np.log1p(condominio) + np.log1p(iptu) + ' 'banheiros + quartos + vagas_na_garagem + churrasqueira + salao_de_festas + ' 'area_de_servico + ar_condicionado + varanda + C(categoria) + C(zona) + ' 'elevador + permitido_animais + armarios_na_cozinha + armarios_no_quarto + ' 'mobiliado + destaque + C(tipo)')</t>
  </si>
  <si>
    <t>none</t>
  </si>
  <si>
    <t>condominio</t>
  </si>
  <si>
    <t>22.01255-9@maua.br</t>
  </si>
  <si>
    <t>André Renato Almeida Abreu</t>
  </si>
  <si>
    <t>22.01255-9</t>
  </si>
  <si>
    <t>https://drive.google.com/open?id=1FwIPCNTLmERMJY0hwWISjIkxDH5Dzulo</t>
  </si>
  <si>
    <t>https://drive.google.com/open?id=1yTDOhiTOvVhZj1g1cYBXnTQrgJveN2OJ</t>
  </si>
  <si>
    <t>19.02012-0@maua.br</t>
  </si>
  <si>
    <t>André Solano Ferreira Rodrigues Maiolini</t>
  </si>
  <si>
    <t>19.02012-0</t>
  </si>
  <si>
    <t>https://drive.google.com/open?id=1uouqwFdDOaPfheRQtTLxHpBgDaD0g7kd</t>
  </si>
  <si>
    <t>https://drive.google.com/open?id=1wPrBuUfK5aT9AI3nFXTkcorrDO3MOQc9</t>
  </si>
  <si>
    <t>LinearRegression() e Ridge()</t>
  </si>
  <si>
    <t>Sim, transformação logarítmica (np.log) na variável alvo 'price' e StandardScaler nas variáveis independentes.</t>
  </si>
  <si>
    <t>Sim, 'area_util_banheiros' e 'area_util_garagem'.</t>
  </si>
  <si>
    <t>tipo_Cobertura</t>
  </si>
  <si>
    <t>22.01519-0@maua.br</t>
  </si>
  <si>
    <t>Arthur Jin Woo Lee</t>
  </si>
  <si>
    <t>22.01519-0</t>
  </si>
  <si>
    <t>https://drive.google.com/open?id=1kP86X9O1ppSjezUOT7tUF7mPFF-MdhOr</t>
  </si>
  <si>
    <t>https://drive.google.com/open?id=1qDBcOA6pHF2IjaDMWhDB_jqWHQyKf9Sx</t>
  </si>
  <si>
    <t>np.log1p(area_util)</t>
  </si>
  <si>
    <t>armarios_na_cozinha_True</t>
  </si>
  <si>
    <t>21.00122-7@maua.br</t>
  </si>
  <si>
    <t>Bruno Giannini Loffreda</t>
  </si>
  <si>
    <t>21.00122-7</t>
  </si>
  <si>
    <t>https://drive.google.com/open?id=1TUMGUzG5EHEIqWRS6jXMpB0cXmIlRKyh</t>
  </si>
  <si>
    <t>https://drive.google.com/open?id=1I1T66PCXn_ur0E9TN4Ku66CK17FTOAjv</t>
  </si>
  <si>
    <t>Ridge(alpha=1.0)</t>
  </si>
  <si>
    <t>df['log_price'] = np.log10(df['price'])</t>
  </si>
  <si>
    <t>area_util::vagas_na_garagem, area_util::banheiros</t>
  </si>
  <si>
    <t>varanda</t>
  </si>
  <si>
    <t>22.01097-0@maua.br</t>
  </si>
  <si>
    <t>Durval Consorti Soranz de Barros Santos</t>
  </si>
  <si>
    <t>22.01097-0</t>
  </si>
  <si>
    <t>https://drive.google.com/open?id=11eVI4Gay7dGhpjhoamo3n5aYyB1YTgg-</t>
  </si>
  <si>
    <t>https://drive.google.com/open?id=1yUeBoYKr9-68q5hkdTGJtWFxsjU3RbF1</t>
  </si>
  <si>
    <t>LinearRegression</t>
  </si>
  <si>
    <t>area_util::banheiros, area_util::garagem</t>
  </si>
  <si>
    <t>Duplex ou triplex</t>
  </si>
  <si>
    <t>enricosantarelli@hotmail.com</t>
  </si>
  <si>
    <t>Enrico Mota Santarelli</t>
  </si>
  <si>
    <t>22.00370-3</t>
  </si>
  <si>
    <t>https://drive.google.com/open?id=1Oih7exJ1muTq_-d8mlcypWBhwxAIaYAM</t>
  </si>
  <si>
    <t>https://drive.google.com/open?id=1lTO7FD14lAZoJRJsLDgLvHdI2m-V403Y</t>
  </si>
  <si>
    <t>edfeherr@gmail.com</t>
  </si>
  <si>
    <t>Estevan Delazari Feher</t>
  </si>
  <si>
    <t>21.00586-6@maua.br</t>
  </si>
  <si>
    <t>https://drive.google.com/open?id=1ljR079HeC3wRSVXRSdhLBq2oYeNF3yJf</t>
  </si>
  <si>
    <t>https://drive.google.com/open?id=1psqgWJ7rr6HvLKbLvw4MEsvlTUER5v1O</t>
  </si>
  <si>
    <t>churrasqueira</t>
  </si>
  <si>
    <t>felipesakae1@gmail.com</t>
  </si>
  <si>
    <t>Felipe Kenzo Ohara Sakae</t>
  </si>
  <si>
    <t>22.00815-2</t>
  </si>
  <si>
    <t>https://drive.google.com/open?id=1CvDYe0drfc_HcgWsSQ9ZoaNqpdadLJLH</t>
  </si>
  <si>
    <t>https://drive.google.com/open?id=1MdPas8jZ2QOcfoDqffw8iZTO6Jd5bPDU</t>
  </si>
  <si>
    <t>area_util::zona</t>
  </si>
  <si>
    <t>fernando.magimenez@gmail.com</t>
  </si>
  <si>
    <t>Fernando Minharro Alves Gimenez</t>
  </si>
  <si>
    <t>22.00833-0</t>
  </si>
  <si>
    <t>https://drive.google.com/open?id=1kEiUE3O_Nk8s7HlQrt9rEF61edqiAjGg</t>
  </si>
  <si>
    <t>https://drive.google.com/open?id=1fYE4AC82eebG2fJLVNyfQ31Ew5NPBpSy</t>
  </si>
  <si>
    <t>giurtumoli@hotmail.com</t>
  </si>
  <si>
    <t>Giuliano Rodrigues Tumoli</t>
  </si>
  <si>
    <t>21.00036-0</t>
  </si>
  <si>
    <t>https://drive.google.com/open?id=1mT08iGmGzJF3MIdujAs10evItzHTlKG8</t>
  </si>
  <si>
    <t>https://drive.google.com/open?id=1muvHSYTaCkdmCFOSucitmsxclVwvK5m4</t>
  </si>
  <si>
    <t>np.maximum(area_util - k, 0)</t>
  </si>
  <si>
    <t>area_util::categoria, area_util::zona, condominio::zona, condominio::area_util, banheiros::area_util, iptu::categoria</t>
  </si>
  <si>
    <t>area_murada</t>
  </si>
  <si>
    <t>22.00006-2@maua.br</t>
  </si>
  <si>
    <t>Guilherme Martins Souza Paula</t>
  </si>
  <si>
    <t>22.00006-2</t>
  </si>
  <si>
    <t>https://drive.google.com/open?id=1A0xntBbPgsksQu4HUgt9s2LWhLBrHzR2</t>
  </si>
  <si>
    <t>https://drive.google.com/open?id=1cHp0A_KtOnRy3tucszD_alw1MQkITCV0</t>
  </si>
  <si>
    <t>area_util:zona, area_util:categoria, quartos:banheiros</t>
  </si>
  <si>
    <t>22.00522-6@maua.br</t>
  </si>
  <si>
    <t>Guilherme Thomasi Ronca</t>
  </si>
  <si>
    <t>22.00522-6</t>
  </si>
  <si>
    <t>https://drive.google.com/open?id=1adGt12Iu11MK0yPSIV1QbC_ERHYJWQKu</t>
  </si>
  <si>
    <t>https://drive.google.com/open?id=1zvn8ndrSi37pH2EAbuFMVcSjR6jY0R4A</t>
  </si>
  <si>
    <t>I(area_util**2)</t>
  </si>
  <si>
    <t>area_util::zona::categoria, np.log(area_util)::zona::categoria, I(area_util**2)::zona::categoria, quartos::zona::categoria, banheiros::zona::categoria, vagas_na_garagem::zona::categoria, condominio::zona::categoria, np.log(condominio+1)::zona::categoria, iptu::zona::categoria, np.log(iptu+1)::zona::categoria, zona::categoria</t>
  </si>
  <si>
    <t>armarios_no_quarto</t>
  </si>
  <si>
    <t>jpbr2004@gmail.com</t>
  </si>
  <si>
    <t>João Paulo Bonagurio Ramirez</t>
  </si>
  <si>
    <t>22.01247-8</t>
  </si>
  <si>
    <t>https://drive.google.com/open?id=11ThOqmMFRZtpnxxIL5kVPEBOFsH0Tv5Q</t>
  </si>
  <si>
    <t>https://drive.google.com/open?id=1b36FUhznUXciE9MWZyyqBDKcU2qAtE66</t>
  </si>
  <si>
    <t>jv_ferrenha@hotmail.com</t>
  </si>
  <si>
    <t>João Vitor Marques Ferrenha Cerqueira</t>
  </si>
  <si>
    <t>22.00085-2</t>
  </si>
  <si>
    <t>https://drive.google.com/open?id=1JZLi4SxCoCvDTyo__xA1ksLdh5twfNJD</t>
  </si>
  <si>
    <t>https://drive.google.com/open?id=1aUp7-MHId3oDyirXz1u7knuJ53WApDfr</t>
  </si>
  <si>
    <t>area_util:zona, area_util:tipo, area_util:categoria</t>
  </si>
  <si>
    <t>22.00952-3@maua.br</t>
  </si>
  <si>
    <t>Leonardo Galdi Fiorese</t>
  </si>
  <si>
    <t>22.00952-3</t>
  </si>
  <si>
    <t>https://drive.google.com/open?id=1wy8S7SdW3-Hq-ENH5oo7dAh8cyuMybJ8</t>
  </si>
  <si>
    <t>https://drive.google.com/open?id=1gOFzkPMhpuXhymTSY3_JNNPhG6MZZATR</t>
  </si>
  <si>
    <t>leohdmoura@gmail.com</t>
  </si>
  <si>
    <t>Leonardo Henrique Dias Moura</t>
  </si>
  <si>
    <t>21.01837-5</t>
  </si>
  <si>
    <t>https://drive.google.com/open?id=1nzs-CP1xvAmWk_7Gn0RUvR6TBw0mQaQ4</t>
  </si>
  <si>
    <t>https://drive.google.com/open?id=1eC7fTb8pZZw57JucqKFMeiR2YHjIvAV6</t>
  </si>
  <si>
    <t>leonardo.amadio4@gmail.com</t>
  </si>
  <si>
    <t>Leonardo Roberto Amaido</t>
  </si>
  <si>
    <t>22.01300-8</t>
  </si>
  <si>
    <t>https://drive.google.com/open?id=1sCG50-k14SISSw9xKcOt8xi3tj02ceLj</t>
  </si>
  <si>
    <t>https://drive.google.com/open?id=117e0c5fh0RotieuOYTv1skgLd8aAr2As</t>
  </si>
  <si>
    <t>area_util_banheiros, area_util_garagem, area_util_quartos, area_util_quadrada</t>
  </si>
  <si>
    <t>tipo_Loft</t>
  </si>
  <si>
    <t>leotagliati56@gmail.com</t>
  </si>
  <si>
    <t>LEONARDO TAGLIATI DA SILVA</t>
  </si>
  <si>
    <t>22.00170-0</t>
  </si>
  <si>
    <t>https://drive.google.com/open?id=1FNc-DWaaTbTw0Wf8rA8s1b2XduKvxVLg</t>
  </si>
  <si>
    <t>https://drive.google.com/open?id=1lmC3c1RRWJfoDX3zlSdQN-Z-vtQbahND</t>
  </si>
  <si>
    <t>22.00921-3@maua.br</t>
  </si>
  <si>
    <t>Lucas Castanho Paganotto Carvalho</t>
  </si>
  <si>
    <t>22.00921-3</t>
  </si>
  <si>
    <t>https://drive.google.com/open?id=1F8znNQtF9kMTpEShcdF-dmJ3PnHTMGHI</t>
  </si>
  <si>
    <t>https://drive.google.com/open?id=1LZ0_mYbEH8W8ZHqR__HomJ2BYfC0k51x</t>
  </si>
  <si>
    <t>Ridge</t>
  </si>
  <si>
    <t>np.log(df['price'])</t>
  </si>
  <si>
    <t>lucascrapino@gmail.com</t>
  </si>
  <si>
    <t>Lucas Gozze Crapino</t>
  </si>
  <si>
    <t>22.00667-2</t>
  </si>
  <si>
    <t>https://drive.google.com/open?id=1n6gdN_W6jNDQNOq8qX_LDKNW77WIiH0d</t>
  </si>
  <si>
    <t>https://drive.google.com/open?id=1mHLB9WEE8Genl7_yS3uwkRocBzrzj1nR</t>
  </si>
  <si>
    <t>log_area::zona</t>
  </si>
  <si>
    <t>lucas.olivares.borges@gmail.com</t>
  </si>
  <si>
    <t>Lucas Olivares Borges da Silva</t>
  </si>
  <si>
    <t>22.00889-6</t>
  </si>
  <si>
    <t>https://drive.google.com/open?id=1qsks7WCLCP0KJzcQ9MIabL3xjf8aI4eD</t>
  </si>
  <si>
    <t>https://drive.google.com/open?id=1R0gSN8jkVjWbbV-gEymgOJDzUthfX7Ve</t>
  </si>
  <si>
    <t>RandomForest(alpha=0.1)</t>
  </si>
  <si>
    <t>0.94</t>
  </si>
  <si>
    <t>np.log1p(df_model['price'])</t>
  </si>
  <si>
    <t>triplex</t>
  </si>
  <si>
    <t>luisgustavo00g.m@gmail.com</t>
  </si>
  <si>
    <t>Luis Gustavo Gonçalves Machado</t>
  </si>
  <si>
    <t>21.00322-0</t>
  </si>
  <si>
    <t>https://drive.google.com/open?id=11_VmY_zC0yRGsAxypXNjuekNFaM1HMwS</t>
  </si>
  <si>
    <t>https://drive.google.com/open?id=1dV7hozA_5HJj1zG-acB4SfFa24qQsLSl</t>
  </si>
  <si>
    <t>Lasso(alpha=1.0)</t>
  </si>
  <si>
    <t>area_util**2(area_util_sq)</t>
  </si>
  <si>
    <t>area_util::condominio</t>
  </si>
  <si>
    <t>20.00628-4@maua.br</t>
  </si>
  <si>
    <t>Matheus Santos Feitosa</t>
  </si>
  <si>
    <t>20.00628-4</t>
  </si>
  <si>
    <t>https://drive.google.com/open?id=1HYVAv-ljyguItH3izhqHA9fuDsGMwE0_</t>
  </si>
  <si>
    <t>https://drive.google.com/open?id=1dH1YAqM5x8VcVjgNZGwB45vVd88nDJpL</t>
  </si>
  <si>
    <t>area_util:condominio, area_util:quartos, area_util:banheiros, area_util:vagas_na_garagem, area_util:iptu, area_util:categoria, area_util:tipo, area_util:zona</t>
  </si>
  <si>
    <t>portao_eletronico</t>
  </si>
  <si>
    <t>O ajuste foi realizado sobre todos os 19.151 registros. O alvo price foi transformado com np.log(price). O modelo statsmodels obteve R²=0.751927, e o melhor modelo scikit-learn, LinearRegression(), obteve R²=0.764894.</t>
  </si>
  <si>
    <t>murillostrina127@gmail.com</t>
  </si>
  <si>
    <t>Murillo Penha Strina</t>
  </si>
  <si>
    <t>22.00730-0</t>
  </si>
  <si>
    <t>https://drive.google.com/open?id=1zwrOjmzM1dn446-2Zk2MfrHUxoxY57Kv</t>
  </si>
  <si>
    <t>https://drive.google.com/open?id=1ljRFifhBZhr_wjjnorr2d6Y_lcfKZWpK</t>
  </si>
  <si>
    <t>np.log(area_util)</t>
  </si>
  <si>
    <t>ottokuchmargo@gmail.com</t>
  </si>
  <si>
    <t>Otto Camargo Kuchkarian</t>
  </si>
  <si>
    <t>22.00571-4</t>
  </si>
  <si>
    <t>https://drive.google.com/open?id=1vbxQN_yHMAZuYjYifxbjjcmt0hhAZyKO</t>
  </si>
  <si>
    <t>https://drive.google.com/open?id=1-SCD-Mwuu6GB8HJkZA-PKYIAKeGCurx4</t>
  </si>
  <si>
    <t>np.log(price) e np.log(area_util)</t>
  </si>
  <si>
    <t>log_area::zona, log_cond::zona, log_area::categoria, log_area::banheiros, log_area::vagas_na_garagem</t>
  </si>
  <si>
    <t>22.00787-3@maua.br</t>
  </si>
  <si>
    <t>Pedro Campos Dec</t>
  </si>
  <si>
    <t>22.00787-3</t>
  </si>
  <si>
    <t>https://drive.google.com/open?id=1_UjE7iZiY20JYRonrcpPPK9hR3X8T-4v</t>
  </si>
  <si>
    <t>https://drive.google.com/open?id=17_H-ciMh8iOY2J8LtZb0kV_7itD2LNkW</t>
  </si>
  <si>
    <t>22.01464-0@maua.br</t>
  </si>
  <si>
    <t>Rafael Assanti</t>
  </si>
  <si>
    <t>22.01464-0</t>
  </si>
  <si>
    <t>https://drive.google.com/open?id=1-fXU6kGQGfgoibxFkjsp5fEYLd0Aj1R_</t>
  </si>
  <si>
    <t>https://drive.google.com/open?id=16Yy2xDADhwLtJ5qcTSPeazMomfS6Tgw6</t>
  </si>
  <si>
    <t>area_util::banheiros, area_util::vagas_na_garagem</t>
  </si>
  <si>
    <t>21.00634-2@maua.br</t>
  </si>
  <si>
    <t>Rafael Maciel Bertani</t>
  </si>
  <si>
    <t>21.00634-2</t>
  </si>
  <si>
    <t>https://drive.google.com/open?id=1LRU_xEF8XtirXRkF1uf2_CugxTABehyE</t>
  </si>
  <si>
    <t>https://drive.google.com/open?id=1gk5plEO7b9um1Ds8Gj270Tyd7y2bYxzR</t>
  </si>
  <si>
    <t>RandomForestRegressor(max_depth=12)</t>
  </si>
  <si>
    <t>0.90</t>
  </si>
  <si>
    <t>area_util::categoria, area_util::tipo, area_util::zona</t>
  </si>
  <si>
    <t>21.01660-7@maua.br</t>
  </si>
  <si>
    <t>Rodrigo Fernandes Faltz</t>
  </si>
  <si>
    <t>21.01660-7</t>
  </si>
  <si>
    <t>https://drive.google.com/open?id=1PpGSRhNde60TSZ3_zUHIwTIMkgXqk3Mp</t>
  </si>
  <si>
    <t>https://drive.google.com/open?id=1d6Y7NruTiJesAV7qZHwJdZhanB6CaoOr</t>
  </si>
  <si>
    <t>Ridge(alpha=0.1)</t>
  </si>
  <si>
    <t>0.79</t>
  </si>
  <si>
    <t>np.log1p(price)</t>
  </si>
  <si>
    <t>area_util::quartos, banheiros::vagas_na_garagem, area_util::zona</t>
  </si>
  <si>
    <t>quartos</t>
  </si>
  <si>
    <t>22.01432-2@maua.br</t>
  </si>
  <si>
    <t>Rodrigo Reis Monasterios Morales</t>
  </si>
  <si>
    <t>22.01432-2</t>
  </si>
  <si>
    <t>https://drive.google.com/open?id=1m8pL4YOrSvCp-Ex10HnR2EViSZaU0XhU</t>
  </si>
  <si>
    <t>https://drive.google.com/open?id=18A603ZfIszHu0VqG3SIJewzKFnxGAlqz</t>
  </si>
  <si>
    <t>area_util::garagem, area_util::banheiros</t>
  </si>
  <si>
    <t>22.01128-5@maua.br</t>
  </si>
  <si>
    <t>Sérgio Guidi Trovo</t>
  </si>
  <si>
    <t>22.01128-5</t>
  </si>
  <si>
    <t>https://drive.google.com/open?id=1vdyy3bCtO249bqR708dqM2Tqae93znFZ</t>
  </si>
  <si>
    <t>https://drive.google.com/open?id=1RBLOsBthewBksPzGDxjBkmlIj0T_sc_C</t>
  </si>
  <si>
    <t>victorgasperi@gmail.com</t>
  </si>
  <si>
    <t>Victor Augusto de Gasperi</t>
  </si>
  <si>
    <t>22.00765-2</t>
  </si>
  <si>
    <t>https://drive.google.com/open?id=10ya2YOZ2MFeFZAeFA7KRbCeYq71gy0Dc</t>
  </si>
  <si>
    <t>https://drive.google.com/open?id=1NQuGpOx781SNXrmVPzNls_CT94T02MEV</t>
  </si>
  <si>
    <t>Ridge(alpha=17.78)</t>
  </si>
  <si>
    <t>log_area::log_iptu, log_area::banheiros, condominio::log_area, log_area::categoria_Casas, area_util::zona</t>
  </si>
  <si>
    <t>quarto_de_servico</t>
  </si>
  <si>
    <t>vinicius.gdechechi@gmail.com</t>
  </si>
  <si>
    <t>Vinicius Garcia Imendes Dechechi</t>
  </si>
  <si>
    <t>22.01568-0</t>
  </si>
  <si>
    <t>https://drive.google.com/open?id=1FmbXTArCSNh_01p4W8MAHP5tnAX_RZNG</t>
  </si>
  <si>
    <t>https://drive.google.com/open?id=15Wp803tUtsX_I5f6sErFixj2yBoilV8Y</t>
  </si>
  <si>
    <t>area_util**2</t>
  </si>
  <si>
    <t>area_util::zona, area_util::categoria, condominio::zona, iptu::zona, area_util::condominio, area_util::iptu, condominio::iptu</t>
  </si>
  <si>
    <t>Nota</t>
  </si>
  <si>
    <t xml:space="preserve">1. (Preparação dos dados) Informe o formato dos conjuntos de treinamento e teste.
Exemplo do formato de resposta:
X_train(1000,10), X_test(200,10)
</t>
  </si>
  <si>
    <t xml:space="preserve">2. (Preparação dos dados) Quantos valores nulos foram tratados?
Exemplo do formato de resposta:
32
</t>
  </si>
  <si>
    <t>3. (Preparação dos dados) Informe a média de todos os valores dos conjuntos de treinamento e teste.
Exemplo do formato de resposta (duas casas depois da vírgula):
X_train = 32312389.87, X_test = 14442389.87</t>
  </si>
  <si>
    <t>4. (Seleção dos modelos) Informe os 3 melhores modelos e sua acuracidade (CV).
Exemplo do formato de resposta (duas casas depois da vírgula):
KNeighborsClassifier(6) = 0.87, LogisticRegression(max_iter=200) = 0.85, 
KNeighborsClassifier(4) = 0.82</t>
  </si>
  <si>
    <t>5. (Modelo final) Qual a acuracidade do modelo final no conjunto de teste?
Exemplo do formato de resposta (duas casas depois da vírgula):
KNeighborsClassifier(6) = 0.86</t>
  </si>
  <si>
    <t xml:space="preserve">6. (Modelo final) Quais as quantidades de TP e FN do modelo final no conjunto de teste para &lt;=50K?
Exemplo do formato de resposta:
TP = 100, FP = 20
</t>
  </si>
  <si>
    <t>Q6</t>
  </si>
  <si>
    <t>7. (Predição) Qual a probabilidade das classes &lt;=50K e &gt;50K nos dois casos de predição? 
Exemplo do formato de resposta (duas casas depois da vírgula):
Mais Freq: &lt;=50K = 0.93, &gt;50K = 0.17, Menos Freq: &lt;=50K = 0.93, &gt;50K = 0.17</t>
  </si>
  <si>
    <t>Q7</t>
  </si>
  <si>
    <t>X_train(39073, 95), X_test(9769, 95)</t>
  </si>
  <si>
    <t>X_train = 0.07, X_test = 0.07</t>
  </si>
  <si>
    <t>LogisticRegression(max_iter=200) = 0.85, KNeighborsClassifier(8) = 0.84, KNeighborsClassifier(7) = 0.84</t>
  </si>
  <si>
    <t>LogisticRegression(max_iter=200) = 0.85</t>
  </si>
  <si>
    <t>TP = 6944, FN = 487</t>
  </si>
  <si>
    <t>Mais Freq: &lt;=50k = 0.68, &gt;50k = 0.32, Menos Freq: &lt;=50k = 0.90, &gt;50k = 0.10</t>
  </si>
  <si>
    <t>https://colab.research.google.com/drive/14Q9PBIlYaHh1_gv2wCKahLw3LLn8D-Mw?usp=sharing
As features education e education-num representam a mesma informação de escolaridade. Para evitar redundância, optou-se pela exclusão de education-num, mantendo education como variável categórica a ser tratada pelo OneHotEncoder, evitando assumir distâncias numéricas iguais entre os diferentes níveis de escolaridade.
Foi usado a simplificação feita em sala para fazer a imputação dos dados faltantes, considerando que '?' representa nulo.</t>
  </si>
  <si>
    <t>X_train(39073,95), X_test(9769,95)</t>
  </si>
  <si>
    <t>X_train = 0.08, X_test = 0.08</t>
  </si>
  <si>
    <t>LogisticRegression(max_iter=1000) = 0.85, KNeighborsClassifier(8) = 0.83, KNeighborsClassifier(6) = 0.83</t>
  </si>
  <si>
    <t>LogisticRegression(max_iter=1000) = 0.85</t>
  </si>
  <si>
    <t>TP = 6960, FN = 471</t>
  </si>
  <si>
    <t>Mais Freq: &lt;=50K = 0.67, &gt;50K = 0.33, Menos Freq: &lt;=50K = 0.91, &gt;50K = 0.09</t>
  </si>
  <si>
    <t>https://colab.research.google.com/drive/1OmrzXBYIlDHuV_qY-asyfV7UYECSCFuB?usp=sharing</t>
  </si>
  <si>
    <t>André Freie Prino</t>
  </si>
  <si>
    <t>X_train(39073,96) , X_test(9769,96)</t>
  </si>
  <si>
    <t>LogisticRegression(max_iter=200) = 0.85, KNeighborsClassifier(8) = 0.84, KNeighborsClassifier(7) = 0.83</t>
  </si>
  <si>
    <t>TP = 6941, FN = 490</t>
  </si>
  <si>
    <t>Mais Freq: &lt;=50K = 0.69, &gt;50K = 0.31, Menos Freq: &lt;=50K = 0.72, &gt;50K = 0.28</t>
  </si>
  <si>
    <t>X_train(39073,104), X_test(9769,104)</t>
  </si>
  <si>
    <t>X_train = 0, X_test = 0.000028</t>
  </si>
  <si>
    <t>LogisticRegression(max_iter=1000) = 0.8502, KNeighborsClassifier(8) = 0.83, KNeighborsClassifier(7) = 0.8287</t>
  </si>
  <si>
    <t>LogisticRegression(max_iter=1000) = 0.8527</t>
  </si>
  <si>
    <t>TP = 6940, FP = 491</t>
  </si>
  <si>
    <t>Mais Freq: &lt;=50K = 0.749592, &gt;50K = 0.250408, Menos Freq: &lt;=50K = 0.999990, &gt;50K = 0.000010</t>
  </si>
  <si>
    <t>X_train(39073,42), X_test(9769,42)</t>
  </si>
  <si>
    <t>X_train = 29.58, X_test = 31.85</t>
  </si>
  <si>
    <t>Mais Freq: &lt;=50K = 0.69, &gt;50K = 0.31, Menos Freq: &lt;=50K = 0.61, &gt;50K = 0.39</t>
  </si>
  <si>
    <t>Ausentes vinham como ' ?' (6465 nulos em 3620 linhas) e foram imputados por sexo após o split, sorteando sempre valores do treino, para evitar vazamento. Removi education (redundante com education-num) e agrupei os países fora dos EUA em 'Outro'. A média do item 3 foi calculada antes da padronização.</t>
  </si>
  <si>
    <t>arthurjwlee02@gmail.com</t>
  </si>
  <si>
    <t>X_train = 11.97, X_test = 12.88</t>
  </si>
  <si>
    <t>LogisticRegression(max_iter=1000) = 0.85, KNeighborsClassifier(8) = 0.83, KNeighborsClassifier(7) = 0.83</t>
  </si>
  <si>
    <t>TP = 6940, FN = 491</t>
  </si>
  <si>
    <t>Mais Freq: &lt;=50K = 0.75, &gt;50K = 0.25, Menos Freq: &lt;=50K = 1.00, &gt;50K = 0.00</t>
  </si>
  <si>
    <t>Q1: formato após o one-hot (get_dummies, education mantida). Antes do encode: X_train(39073,13), X_test(9769,13).
Q3: média de todos os valores da matriz codificada, antes do StandardScaler. Considerando só as 5 colunas numéricas originais: X_train = 247.33, X_test = 266.39.</t>
  </si>
  <si>
    <t>brenoamorim11@gmail.com</t>
  </si>
  <si>
    <t>Breno Amorim Roman</t>
  </si>
  <si>
    <t>20.00395-0</t>
  </si>
  <si>
    <t>X_train(39073, 96), X_test(9769, 96)</t>
  </si>
  <si>
    <t>TP = 6946, FN = 485</t>
  </si>
  <si>
    <t>Mais Freq: &lt;=50K = 0.68, &gt;50K = 0.32, Menos Freq: &lt;=50K = 0.61, &gt;50K = 0.39</t>
  </si>
  <si>
    <t>X_train(39073,96), X_test(9769,96)</t>
  </si>
  <si>
    <t>LogisticRegression(max_iter=2000) = 0.85, KNeighborsClassifier(8) = 0.84, KNeighborsClassifier(6) = 0.84</t>
  </si>
  <si>
    <t>LogisticRegression(max_iter=2000) = 0.85</t>
  </si>
  <si>
    <t>Mais Freq: &lt;=50K = 0.74, &gt;50K = 0.26, Menos Freq: &lt;=50K = 0.95, &gt;50K = 0.05</t>
  </si>
  <si>
    <t>21.00586-9</t>
  </si>
  <si>
    <t>X_train(39073, 13), X_test(9769, 13)</t>
  </si>
  <si>
    <t>X_train = 247.33 X_test = 266.39</t>
  </si>
  <si>
    <t>LogisticRegression(max_iter=1000) = 0.85 , KNeighborsClassifier(8) = 0.83, KNeighborsClassifier(7) = 0.83</t>
  </si>
  <si>
    <t>Mais Freq: &lt;=50K = 0.79, &gt;50K = 0.21, Menos Freq: &lt;=50K = 1.00, &gt;50K = 0.00</t>
  </si>
  <si>
    <t>guimartins10sp@gmail.com</t>
  </si>
  <si>
    <t>X_train = 0.09, X_test = 0.09</t>
  </si>
  <si>
    <t>KNeighborsClassifier(n_neighbors=8) = 0.83, LogisticRegression(max_iter=1000) = 0.85, KNeighborsClassifier(n_neighbors=7) = 0.83</t>
  </si>
  <si>
    <t>TP = 6961, FN = 470</t>
  </si>
  <si>
    <t>Mais Freq: &lt;=50K = 0.67, &gt;50K = 0.33, Menos Freq: &lt;=50K = 0.53, &gt;50K = 0.47</t>
  </si>
  <si>
    <t>Mais Freq: &lt;=50K = 0.69, &gt;50K = 0.31, Menos Freq: &lt;=50K = 1.00, &gt;50K = 0.00</t>
  </si>
  <si>
    <t>22.00085-2@maua.br</t>
  </si>
  <si>
    <t>X_train = 247.33, X_test = 266.39</t>
  </si>
  <si>
    <t>LogisticRegression(max_iter=200) = 0.85, KNeighborsClassifier(8) = 0.83, KNeighborsClassifier(7) = 0.83</t>
  </si>
  <si>
    <t>TP = 6931, FN = 500</t>
  </si>
  <si>
    <t>Mais Freq: &lt;=50K = 0.82, &gt;50K = 0.18, Menos Freq: &lt;=50K = 1.00, &gt;50K = 0.00</t>
  </si>
  <si>
    <t>X_train(39073, 13),X_test(9769, 13)</t>
  </si>
  <si>
    <t>Leonardo Roberto Amadio</t>
  </si>
  <si>
    <t>X_train = 0.14, X_test = 0.14</t>
  </si>
  <si>
    <t>Na etapa de EDA, na coluna "native-country" por conta da distribuição dos valores, 90% ser 'United-States', fiz um tratamento para considerar qualquer outro valor sem ser 'United-States' valer 'Outros', evitando alta cardinalidade. Além disso, percebi que as colunas education e education-num eram equivalentes e mantive somente a numérica, evitando a multicolinearidade.</t>
  </si>
  <si>
    <t>X_train(39073, 96), X_test(9769, 96))</t>
  </si>
  <si>
    <t>TP=6946, FN=485</t>
  </si>
  <si>
    <t>Mais Freq: &lt;=50K = 0.69, &gt;50K = 0.31, Menos Freq: &lt;=50K = 0.48, &gt;50K = 0.52</t>
  </si>
  <si>
    <t>Professor, neste formulário não foi disponibilizado o campo para fazer o upload do notebook...</t>
  </si>
  <si>
    <t>X_train(39073,13), X_test(9769,13)</t>
  </si>
  <si>
    <t>LogisticRegression(max_iter=2000) = 0.85, KNeighborsClassifier(8) = 0.84, KNeighborsClassifier(7) = 0.84</t>
  </si>
  <si>
    <t>Mais Freq: &lt;=50K = 0.74, &gt;50K = 0.26, Menos Freq: &lt;=50K = 0.84, &gt;50K = 0.16</t>
  </si>
  <si>
    <t>TP = 6958, FN = 473</t>
  </si>
  <si>
    <t>Mais Freq.: &lt;=50K = 0.67, &gt;50K = 0.33; Menos Freq.: &lt;=50K = 0.54, &gt;50K = 0.46</t>
  </si>
  <si>
    <t>Logistic Regression(max_iter=200) = 0.85, KNN (k=8) = 0.84, KNN (k=6): 0.84</t>
  </si>
  <si>
    <t>TP = 6947, FN = 484</t>
  </si>
  <si>
    <t>Mais Freq: &lt;=50K = 0.68, &gt;50K = 0.31, Menos Freq: &lt;=50K = 0.90, &gt;50K = 0.10</t>
  </si>
  <si>
    <t>https://colab.research.google.com/drive/195O_04HjwppBc8yL-gxCTo5gNZGdqN85?usp=sharing</t>
  </si>
  <si>
    <t>rafael.assanti@gmail.com</t>
  </si>
  <si>
    <t>X_train = 0.07, X_test: 0.07</t>
  </si>
  <si>
    <t>Mais Freq: &lt;=50K = 0.68, &gt;50K = 0.32, Menos Freq: &lt;=50K = 0.90, &gt;50K = 0.01</t>
  </si>
  <si>
    <t>https://colab.research.google.com/drive/1wDgM7MagyIQ8BpSwz63PnbAqGRTkKZdE#scrollTo=q3whsWY3UH8O</t>
  </si>
  <si>
    <t>TP = 6943, FN = 488</t>
  </si>
  <si>
    <t>Mais Freq: &lt;=50K = 0.69, &gt;50K = 0.31, Menos Freq: &lt;=50K = 0.96, &gt;50K = 0.04</t>
  </si>
  <si>
    <t>Links do notebook utilizado na resolução da atividade:
https://colab.research.google.com/drive/1wcHTduPSJMRSSwWchcncww8WHKzE3Buz?usp=sharing
https://github.com/RafaelBertani/AtividadeAvaliativa3.2</t>
  </si>
  <si>
    <t>rodrigo.faltz@outlook.com</t>
  </si>
  <si>
    <t>X_train(39073, 12), X_test(9769, 12)</t>
  </si>
  <si>
    <t>X_train = 306.64, X_test = 330.47</t>
  </si>
  <si>
    <t>Mais Freq: &lt;=50k = 0.68, &gt;50k = 0.32, Menos Freq: &lt;=50k = 0.53, &gt;50k = 0.47</t>
  </si>
  <si>
    <t>X_train(39073, 104), X_test(9769, 104)</t>
  </si>
  <si>
    <t>X_train = -0.00, X_test = 0.00</t>
  </si>
  <si>
    <t>Sergio Guidi Trovo</t>
  </si>
  <si>
    <t>X_train = 0.00, X_test = 0.00</t>
  </si>
  <si>
    <t>LogisticRegression(max_iter=1000) = 0.85, KNeighborsClassifier(7) = 0.83, KNeighborsClassifier(5) = 0.83</t>
  </si>
  <si>
    <t>TP = 6892, FN = 539</t>
  </si>
  <si>
    <t>Mais Freq: &lt;=50K = 0.68, &gt;50K = 0.32, Menos Freq: &lt;=50K = 1.00, &gt;50K = 0.00</t>
  </si>
  <si>
    <t>22.00856-0@maua.br</t>
  </si>
  <si>
    <t>Tiago Tadeu de Azevedo</t>
  </si>
  <si>
    <t>22.00856-0</t>
  </si>
  <si>
    <t>Escrita (pontos)</t>
  </si>
  <si>
    <t>Nota P3</t>
  </si>
  <si>
    <t>1. Quais dados foram identificados com dados discrepantes e quantos registros foram excluídos dos dados?
Exemplo de resposta:
campo1, campo2, campo3, 12 registros</t>
  </si>
  <si>
    <t>2. Informe a quantidade de instâncias de Treinamento e Teste.
Exemplo de resposta:
1000, 200</t>
  </si>
  <si>
    <t>3. Informe que atributos tiveram dados nulos imputados e suas quantidades (somente X_train).
Exemplo de resposta:
campo1, 5; campo2, 200;</t>
  </si>
  <si>
    <t>4. Relacione, se houverem, os atributos transformados com One Hot Encode e Label Encode. 
Exemplo de resposta:
OHE: campoA, campoB, campoD
LE: nenhum</t>
  </si>
  <si>
    <t xml:space="preserve">5. Relacione os atributos que foram normalizados.
Exemplo de resposta:
campoA, campoB, campoD, campoX
</t>
  </si>
  <si>
    <t xml:space="preserve">6. Informe o formato (linhas, colunas) final dos dados de Treinamento e Teste após o pré-processamento.
Exemplo de resposta:
X_train(1000, 9), X_test(200, 9)
</t>
  </si>
  <si>
    <t xml:space="preserve">7. Informe para cada modelo a acuracidade obtida no treinamento.
Exemplo de resposta:
LogisticRegression = 0.56 RandomForestClassifier = 0.45
KNeighborsClassifier(3) = 0.33
KNeighborsClassifier(9) = 0.32
</t>
  </si>
  <si>
    <t xml:space="preserve">8. Analise o modelo final com base no melhor modelo selecionado. Ele é um bom modelo? Discuta apresentando evidências com base em métricas.
Exemplo de resposta:
Aqui sua resposta deve ser discursiva.
</t>
  </si>
  <si>
    <t>Q8</t>
  </si>
  <si>
    <t xml:space="preserve">9. Faça a predição com base no modelo final obtido. Do total de novos casos, quantos apresentam probabilidade do cliente fazer a subscrição? Qual essa probabilidade em cada caso?
Exemplo de resposta:
2 casos, [ 0.98, 0.95 ]
</t>
  </si>
  <si>
    <t>Q9</t>
  </si>
  <si>
    <t xml:space="preserve">10. Qual o melhor modelo segundo o menor erro no conjunto de treinamento e qual o RMSE obtido?
Exemplo de resposta:
ARIMA, RMSE=1.256
</t>
  </si>
  <si>
    <t>Q10</t>
  </si>
  <si>
    <t xml:space="preserve">11. Qual o melhor modelo segundo o menor erro no conjunto de teste e qual o RMSE obtido?
Exemplo de resposta:
ARIMA, RMSE=0.256
</t>
  </si>
  <si>
    <t>Q11</t>
  </si>
  <si>
    <t xml:space="preserve">12. Faça uma análise dos resíduos do melhor modelo de Aprendizado de Máquina comparando com os resíduos do modelo ARIMA. 
Exemplo de resposta:
Aqui sua resposta deve ser discursiva.
</t>
  </si>
  <si>
    <t>Q12</t>
  </si>
  <si>
    <t>Faça o upload do seu notebook IMT_CD_P3_2026_&lt;seu_nome&gt;.ipynb aqui. 
O notebook deve estar 100% executável, do início ao fim.</t>
  </si>
  <si>
    <t>GABARITO</t>
  </si>
  <si>
    <t>A</t>
  </si>
  <si>
    <t>age, duration, previous, 11 registors</t>
  </si>
  <si>
    <t>(36123, 15), (9031, 15)</t>
  </si>
  <si>
    <t>job, 230; education,1489;</t>
  </si>
  <si>
    <r>
      <t xml:space="preserve">LE: education ('primary': 0, 'secondary': 1, 'tertiary': 2).
OHE: </t>
    </r>
    <r>
      <rPr>
        <b/>
        <sz val="10"/>
        <color rgb="FFFF0000"/>
        <rFont val="Arial"/>
        <family val="2"/>
      </rPr>
      <t>campaign</t>
    </r>
    <r>
      <rPr>
        <sz val="10"/>
        <color rgb="FFFF0000"/>
        <rFont val="Arial"/>
        <family val="2"/>
      </rPr>
      <t>, job, marital, default, housing, loan, contact, poutcome</t>
    </r>
  </si>
  <si>
    <r>
      <t>education</t>
    </r>
    <r>
      <rPr>
        <sz val="10"/>
        <color rgb="FFFF0000"/>
        <rFont val="Arial"/>
        <family val="2"/>
      </rPr>
      <t xml:space="preserve">, age, balance, duration, pdays, previous, last_contact
</t>
    </r>
    <r>
      <rPr>
        <b/>
        <sz val="10"/>
        <color rgb="FFFF0000"/>
        <rFont val="Arial"/>
        <family val="2"/>
      </rPr>
      <t>campaign NÃO</t>
    </r>
  </si>
  <si>
    <t>(36123, 83), (9031, 83)
Com o encode de campaign,
Mas aceitei ( ~ 36123, 28), ( ~ 9031, 28)
Sem o encode de campaign,</t>
  </si>
  <si>
    <t>Random Forest Classifier: 0.90 
Regressão Logística (max_iter=200): 0.90 
K-Vizinhos Próximos (k=9): menor
K-Vizinhos Próximos (k=3): menor</t>
  </si>
  <si>
    <t>Não é um bom modelo, 60% de clientes com propensão de compras não são selecionados para a campanha (recall yes &lt; .4)</t>
  </si>
  <si>
    <t>1 caso, ~0.6</t>
  </si>
  <si>
    <t>Decision Tree Regressor (3, 5 ou 10), RMSE = 0.00, sobrejuste</t>
  </si>
  <si>
    <t>ARIMA(2, 1, 1), RMSE ~ 0.41</t>
  </si>
  <si>
    <t xml:space="preserve">Análise gráfica da normalização + autocorrelação dos resíduos sobre o conjunto de treinamento e teste. 
</t>
  </si>
  <si>
    <t>age, duration, previous, 11 registros</t>
  </si>
  <si>
    <t>36123, 9031</t>
  </si>
  <si>
    <t>job, 230, education, 1489</t>
  </si>
  <si>
    <t>OHE: job, marital, default, housing, loan, contact, poutcome
LE: education</t>
  </si>
  <si>
    <t>age, balance, duration, campaign, pdays, previous, last_contact</t>
  </si>
  <si>
    <t>X_train(36123, 35), X_test(9031, 35)</t>
  </si>
  <si>
    <t>LogisticRegression = 0.90
KNeighborsClassifier(3) = 0.89 
KNeighborsClassifier(9) = 0.89 
RandomForestClassifier = 0.90</t>
  </si>
  <si>
    <t>Embora o modelo forneça uma lista de leads com maior probabilidade de conversão (aumentando a eficiência do call center), sua baixa recall para a classe "sim" indica que ele deixa passar a maioria dos assinantes em potencial. Portanto, ele pode não ser suficiente se o objetivo do negócio for expandir significativamente a base de assinantes. Ajustes adicionais (como alterar o limiar de previsão, rebalancear o conjunto de dados ou explorar modelos mais avançados) podem ser necessários para melhorar a recall da classe "sim", mesmo que isso implique uma leve queda na precisão ou na acurácia geral.</t>
  </si>
  <si>
    <t>46 casos, [0.37, 0.63]</t>
  </si>
  <si>
    <t>Decision Tree Regressor (3 lags) , RMSE = 0.0000</t>
  </si>
  <si>
    <t>Linear Regression (10 lags), RMSE = 0.4242</t>
  </si>
  <si>
    <t>Embora a Linear Regression (10 lags) tenha apresentado um RMSE ligeiramente melhor no conjunto de teste, a análise dos resíduos mostra que o modelo ARIMA(0,1,2) é superior na captura da estrutura da série temporal, produzindo resíduos que se assemelham mais a um ruído branco. A Linear Regression (3 lags) ainda deixa alguma informação não modelada em seus resíduos, como indicado pela autocorrelação significativa. Em termos de interpretabilidade e de quão bem o modelo explica a dependência interna da série, o ARIMA é o melhor.</t>
  </si>
  <si>
    <t>https://drive.google.com/open?id=1rWFsRhy5KfE-rMw1TWvu-9Z1wUQsDBYV</t>
  </si>
  <si>
    <t>https://drive.google.com/open?id=1wXeXaDylIrXs6jlYPnf1Juj39ratPEzg</t>
  </si>
  <si>
    <t>Treinamento: (36123, 15) | Teste: (9031, 15)</t>
  </si>
  <si>
    <t>job,230;education,1489;</t>
  </si>
  <si>
    <t>OHE: job, marital, contact, poutcome 
LE: education</t>
  </si>
  <si>
    <t>StandardScaler,age, education, balance, duration, campaign, pdays, previous, last_contact,atributo numericos</t>
  </si>
  <si>
    <t>X_train(36123, 32),X_test(9031, 32)</t>
  </si>
  <si>
    <t xml:space="preserve">
LogisticRegression =0.9001 RandomForestClassifier = 0.9021
KNN (k=9)= 0.8971
KNN (k=3)=0.8890</t>
  </si>
  <si>
    <t>É um modelo razoável para priorizar a lista do Call-Center (bom precision e AUC), mas não é um bom modelo para capturar a maioria dos potenciais clientes, dado o baixo recall da classe positiva. Seria possível melhorar ajustando o limiar de decisão, usando class_weight='balanced' ou técnicas de balanceamento</t>
  </si>
  <si>
    <t>2 casos, [0.65 , 0.54 ]</t>
  </si>
  <si>
    <t>ARIMA, RMSE = 0.0</t>
  </si>
  <si>
    <t>ARIMA, RMSE = 0.339</t>
  </si>
  <si>
    <t xml:space="preserve">Os resíduos dos dois modelos se comportam como ruído branco aproximadamente normal, ou seja, ambos são adequados. A diferença está na previsão: o ARIMA teve menor erro no teste (0.339 vs 0.418) com menos parâmetros, e por isso é o modelo preferível para esta série.
</t>
  </si>
  <si>
    <t>https://drive.google.com/open?id=1c1ZXddNmxGsqmFiUPf0SM5QuOvdb5AyC</t>
  </si>
  <si>
    <t>https://drive.google.com/open?id=1Z32LyxmsAlY3uSD5ukp1OtblKXTE0189</t>
  </si>
  <si>
    <t>Treino: 36123 Teste: 9031</t>
  </si>
  <si>
    <t>job, 230; education, 1489;</t>
  </si>
  <si>
    <t>Label ordinal: ['education']
One Hot Encode: ['job', 'marital', 'default', 'housing', 'loan', 'contact', 'poutcome']
Numéricas: ['age', 'education', 'balance', 'duration', 'campaign', 'pdays', 'previous', 'last_contact']</t>
  </si>
  <si>
    <t>Normalizados com MinMaxScaler: ['age', 'education', 'balance', 'duration', 'campaign', 'pdays', 'previous', 'last_contact']</t>
  </si>
  <si>
    <t>(36123, 28) (9031, 28)</t>
  </si>
  <si>
    <t>O modelo Random Forest não é ideal para o negócio devido ao forte overfitting (100% de acurácia no treino). Apesar da alta acurácia geral (90,65%), o baixo Recall (41,8%) na classe 'yes' mostra que ele sofre com o desbalanceamento. Assim, ele falha em prever mais da metade dos clientes propensos à subscrição.</t>
  </si>
  <si>
    <t>Casos com classe prevista yes: 2 de 46</t>
  </si>
  <si>
    <t>['Decision Tree 3 lags', 'Decision Tree 10 lags'] 0.0</t>
  </si>
  <si>
    <t>ARIMA(2,1,1) 0.4179837714530239</t>
  </si>
  <si>
    <t>https://drive.google.com/open?id=1YkEze31U2y8pbi43K5Ur735eZ6YtfCk8</t>
  </si>
  <si>
    <t>https://drive.google.com/open?id=1YWlVnd48a1QWgN5F3gmC6mVv5kRAU9Y-</t>
  </si>
  <si>
    <t>balance, 3 registros</t>
  </si>
  <si>
    <t>36129, 9033</t>
  </si>
  <si>
    <t>job, 239; education, 1492;</t>
  </si>
  <si>
    <t>OHE: job, marital, default, housing, loan, contact, poutcome, month
LE: education</t>
  </si>
  <si>
    <t>age, balance, duration, campaign, pdays, previous</t>
  </si>
  <si>
    <t>X_train(36129, 48), X_test(9033, 48)</t>
  </si>
  <si>
    <t>LogisticRegression = 0.89
KNeighborsClassifier(3) = 0.92
KNeighborsClassifier(9) = 0.90
RandomForestClassifier = 1.00</t>
  </si>
  <si>
    <t>Considerando que o RandomForestClassifier demonstrou overfitting (1.00 de acurácia de treinamento), o KNeighborsClassifier (k=3) foi escolhido como modelo final por sua melhor generalização. As métricas no conjunto de teste para o KNeighborsClassifier (k=3) incluem uma acurácia geral de 0.88, com precisão de 0.50, recall de 0.25 e f1-score de 0.33 para a classe positiva.</t>
  </si>
  <si>
    <t>https://drive.google.com/open?id=1B35ggh-5Q5TWV1ehKjx5v9ZgfCmxpijW</t>
  </si>
  <si>
    <t>https://drive.google.com/open?id=1VDOLaPzyd8zQIeIwdorOhMVsva8E5Rig</t>
  </si>
  <si>
    <t>age, duration, 5 registros</t>
  </si>
  <si>
    <t>36128, 9032</t>
  </si>
  <si>
    <t>job, 229; education, 1482;</t>
  </si>
  <si>
    <t>age, balance, duration, campaign, pdays, previous, year, day</t>
  </si>
  <si>
    <t>X_train(36128, 40), X_test(9032, 40)</t>
  </si>
  <si>
    <t>LogisticRegression = 0.89 RandomForestClassifier = 0.90
KNeighborsClassifier(3) = 0.88
KNeighborsClassifier(9) = 0.89</t>
  </si>
  <si>
    <t>O modelo apresenta uma acurácia global alta (aproximadamente 90%), o que parece um ótimo resultado à primeira vista. Contudo, analisando as métricas do Relatório de Classificação (Precision, Recall e F1-Score), notamos um forte desbalanceamento nas classes. A classe minoritária 'yes' costuma apresentar um 'recall' e um 'f1-score' consideravelmente menores que a classe 'no'. Isso indica que, embora o modelo seja excelente para identificar quem NÃO vai comprar o produto (evitando falsos positivos), ele tem mais dificuldade em identificar todos os clientes com real potencial de compra (gerando falsos negativos). Dessa forma, é um bom modelo preditivo no contexto geral, mas, sob a ótica de negócios para uma campanha de marketing, melhorias poderiam ser aplicadas para aumentar a taxa de acerto nos potenciais clientes.</t>
  </si>
  <si>
    <t>1 casos, [ 0.63 ]</t>
  </si>
  <si>
    <t>DecisionTreeRegressor(), RMSE=0.000</t>
  </si>
  <si>
    <t>ARIMA, RMSE=0.379</t>
  </si>
  <si>
    <t>O melhor modelo de Machine Learning avaliado no conjunto de teste foi a Regressão Linear (com 10 lags, RMSE de 0.424), uma vez que a Árvore de Decisão sofreu de forte sobreajuste (overfitting), zerando o erro no treino mas apresentando alto erro no teste. Comparando a Regressão Linear com o modelo ARIMA (RMSE de 0.379 no teste), nota-se que o ARIMA obteve um desempenho superior. Isso se deve à capacidade do modelo ARIMA (com parâmetro de integração d=1) de capturar e modelar explicitamente a forte tendência e as autocorrelações presentes na série temporal de elevação do nível do mar. Consequentemente, os resíduos do ARIMA tendem a conter menos informações estruturais não explicadas, resultando em previsões mais precisas e um menor erro (RMSE) no conjunto de teste.</t>
  </si>
  <si>
    <t>https://drive.google.com/open?id=1_PhXmOvTSk1KNuuuw7Z7PTD6uKUp39fC</t>
  </si>
  <si>
    <t>https://drive.google.com/open?id=1laBGuCbYJNljZHgJ_GxCRqlJJfgFSbif</t>
  </si>
  <si>
    <t>age, duration, previous, 6 registros</t>
  </si>
  <si>
    <t>36127, 9032</t>
  </si>
  <si>
    <t>job, 235; education, 1496;</t>
  </si>
  <si>
    <t>age, education, balance, duration, campaign, pdays, previous, last_contact</t>
  </si>
  <si>
    <t>X_train(36127, 28), X_test(9032, 28)</t>
  </si>
  <si>
    <t>LogisticRegression = 0.90 RandomForestClassifier = 0.91
KNeighborsClassifier(3) = 0.89
KNeighborsClassifier(9) = 0.89</t>
  </si>
  <si>
    <t>O melhor modelo selecionado foi RandomForestClassifier, com o valor de acuracidade de 0.91. Ao comparar o modelo burro que prevê sempre a classe majoritaria que é "no", percebe-se que o modelo burro tem acurácia de 0.88, assim o modelo tem um ganho de 2.3 porcento em comparação com o burro. Análisando todos os fatores do modelo, temos o seguinte, para "no" temos 0.93 de precisão, 0.97 de recall e um f1-score de 0.95, mostrando que é um bom modelo para indicar quem não vai subscrever, mas, ao analisar para o "yes", com precisão de 0.66, recall de 0.41, e um f1-score de 0.50, se mostra que não é um bom modelo para o objetivo da campanha, pois perde a maior parte dos clientes que subscreveriam.</t>
  </si>
  <si>
    <t>DecisionTreeRegressor(), RMSE=0.0</t>
  </si>
  <si>
    <t>ARIMA, RMSE=0.418</t>
  </si>
  <si>
    <t>O melhor modelo de Aprendizado de Máquina foi LinearRegression() com 5 lags. No treinamento seus resíduos têm média 0.0 , desvio 0.567, ACF1 -0.00 e Durbin-Watson 2.00. Os resíduos do ARIMA(p=2,1,q=1) no treinamento têm média 0.073, desvio 0.570, ACF1 -0.01 e Durbin-Watson 1.97. Os dois apresentam resíduos em zero; o que tem resíduos menos autocorrelacionados (ACF1 mais perto de 0, Durbin-Watson mais perto de 2) é o LinearRegression() com 5 lags, ou seja, deixou menos estrutura temporal sem capturar. No teste (5 últimos meses) o erro médio foi -0.011 para LinearRegression() com 5 lags e -0.007 para o ARIMA (valor positivo = o modelo subestima o nível do mar; negativo = superestima), com desvios de 0.418 e 0.418. O RMSE de teste foi 0.418 contra 0.418 do ARIMA. Com apenas 5 pontos de teste, as diferenças devem ser olhadas cuidadosamente, os gráficos mostram resíduos oscilando em torno de zero, sem tendência, o que indica que ambos capturaram a tendência de alta da série.</t>
  </si>
  <si>
    <t>https://drive.google.com/open?id=1ScD2ZY7kKwYXzDu9IiDlvtzKeD7HvE37</t>
  </si>
  <si>
    <t>https://drive.google.com/open?id=1XsC-a5n3TSLtY8ufGBh4UXYoGUcK8ykf</t>
  </si>
  <si>
    <t>age, 7 registros</t>
  </si>
  <si>
    <t>job,229;education,1482;</t>
  </si>
  <si>
    <t xml:space="preserve">
age, balance, duration, campaign, pdays, previous, last_contact</t>
  </si>
  <si>
    <t>X_train(36126, 28),X_test(9032, 28)</t>
  </si>
  <si>
    <t>Logistic Regression: 0.8925 Random Forest: 0.9037
KNN (3): 0.8752
KNN (9): 0.8874</t>
  </si>
  <si>
    <t>Nota-se que o melhor modelo, baseando-se na acurácia é o Random Forest regressor.</t>
  </si>
  <si>
    <t>-</t>
  </si>
  <si>
    <t>A partir da inspeção visual dos gráficos de erro, conclui-se que o modelo que apresenta melhor resultado ao analisar os resíduos é o ARIMA, pois apresentam menor desvio em relação a 0.</t>
  </si>
  <si>
    <t>https://drive.google.com/open?id=1NXE3nU-vYt7cvwKomTMNU7x7JZGjiYZz</t>
  </si>
  <si>
    <t>https://drive.google.com/open?id=1aAixT4X3oMlaPnyeUn66aTyBkNWWtdA1</t>
  </si>
  <si>
    <t>balance, previous, 2 registros</t>
  </si>
  <si>
    <t>36130, 9033</t>
  </si>
  <si>
    <t>job, 229; education, 1485;</t>
  </si>
  <si>
    <t>OHE: job, marital, default, housing, loan, contact, poutcome 
LE: education</t>
  </si>
  <si>
    <t>age, education, balance, duration, campaign, pdays, previous, last_contact, job_blue-collar, job_entrepreneur, job_housemaid, job_management, job_retired, job_self-employed, job_services, job_student, job_technician, job_unemployed, job_unknown, marital_married, marital_single, default_yes, housing_yes, loan_yes, contact_telephone, contact_unknown, poutcome_other, poutcome_success, poutcome_unknown</t>
  </si>
  <si>
    <t>X_train(36130, 29), X_test(9033, 29)</t>
  </si>
  <si>
    <t>LogisticRegression = 0.89 
RandomForestClassifier = 0.90 
KNeighborsClassifier(3) = 0.88 
KNeighborsClassifier(9) = 0.89</t>
  </si>
  <si>
    <t>Embora a acurácia seja alta (90,7%), ela é enganosa devido ao desbalanceamento dos dados. Analisando a classe alvo ("yes"), o modelo apresenta um baixo desempenho:
Recall (0.4020): Identifica apenas ~40% dos potenciais assinantes, perdendo a maioria das oportunidades (falsos negativos).
Precision (0.6778): Acerta em ~68% das vezes que prevê uma subscrição.
F1-Score (0.5047): Confirma o desempenho fraco na classe minoritária.
Conclusão: Apesar de prever bem a classe majoritária ("no"), não é um bom modelo para o objetivo de negócio (encontrar assinantes) e precisa de ajustes para lidar com o desbalanceamento.</t>
  </si>
  <si>
    <t>1 caso, [ 0.56 ]</t>
  </si>
  <si>
    <t>ARIMA, RMSE=0.343</t>
  </si>
  <si>
    <t>Observando o gráfico de resíduos no conjunto de treinamento, tanto o melhor modelo de Machine Learning (Regressão Linear com 5 lags) quanto o ARIMA apresentam um comportamento semelhante de ruído branco, indicando que conseguiram capturar boa parte da estrutura de dependência da série temporal (tendência e variações). O RMSE no treinamento de ambos também é bastante próximo (~0.56 a ~0.57). No entanto, o ARIMA obteve um desempenho significativamente superior no conjunto de teste (menor RMSE), o que sugere que a Regressão Linear pode estar extrapolando a tendência com ligeiro overfitting das oscilações passadas, enquanto o ARIMA modelou a média móvel de forma mais conservadora e precisa para os 5 passos à frente.</t>
  </si>
  <si>
    <t>https://drive.google.com/open?id=17Iv4eodPlbMDJ9N8cn0mnd7nm2rD0VBO</t>
  </si>
  <si>
    <t>https://drive.google.com/open?id=1GMDR72aikDcsKCTDS28_pO_A2pYXcIrm</t>
  </si>
  <si>
    <t>OHE: job, marital, default, housing, loan, contact, poutcome
LE: education — primary=0, secondary=1, tertiary=2</t>
  </si>
  <si>
    <t>age, balance, duration, campaign, pdays, previous, last_contact, education</t>
  </si>
  <si>
    <t>X_train(36123, 28), X_test(9031, 28)</t>
  </si>
  <si>
    <t>LogisticRegression = 0.899732
RandomForestClassifier = 0.903939
KNeighborsClassifier(3) = 0.885281
KNeighborsClassifier(9) = 0.895690</t>
  </si>
  <si>
    <t>O RandomForestClassifier apresentou a maior acurácia média na validação cruzada. No teste, obteve acurácia de 90,41%, precisão de 64,49%, recall de 40,21% e F1 de 49,53% para a classe de clientes que fazem a subscrição. Embora seja útil para priorizar contatos, sua capacidade de identificar todos os interessados é limitada: identificou 425 dos 1.057 clientes positivos. Além disso, prever sempre a classe majoritária já produziria 88,30% de acurácia. Portanto, a acurácia global elevada não é suficiente para considerá-lo um excelente modelo.</t>
  </si>
  <si>
    <t>1 caso, [0.71]</t>
  </si>
  <si>
    <t>DecisionTreeRegressor(3 lags) e DecisionTreeRegressor(10 lags), RMSE=0.000000</t>
  </si>
  <si>
    <t>LinearRegression(10 lags), RMSE=0.424190</t>
  </si>
  <si>
    <t>A regressão linear com 10 lags apresentou resíduos com média aproximadamente zero e desvio padrão de 0,5637. O ARIMA(0,1,2) apresentou média de 0,0796 e desvio padrão de 0,5691, indicando uma pequena tendência de subestimar os valores observados. Os testes de Shapiro-Wilk não rejeitaram a normalidade dos resíduos, com p-valores de 0,7464 e 0,8845, respectivamente. O teste de Ljung-Box também não apontou autocorrelação significativa. Ambos apresentaram resíduos compatíveis com um ajuste adequado, mas a regressão linear obteve resíduos mais centrados em zero, dispersão ligeiramente menor e menor RMSE no teste: 0,424190 contra 0,435209 do ARIMA.</t>
  </si>
  <si>
    <t>https://drive.google.com/open?id=1j4LRsXgWuRnxcaGbuEd15_Tc6RZsm7Aq</t>
  </si>
  <si>
    <t>https://drive.google.com/open?id=1RVbRqH0I9vOYXmC6N8FW-YruUzHfFfmW</t>
  </si>
  <si>
    <t>age, balance e duration, 145</t>
  </si>
  <si>
    <t>36016, 9004</t>
  </si>
  <si>
    <t>job, 222; education, 1456;</t>
  </si>
  <si>
    <t>age, education, balance, duration, campaign, pdays, previous, job_admin., job_blue-collar, job_entrepreneur, job_housemaid, job_management, job_retired, job_self-employed, job_services, job_student, job_technician, job_unemployed, marital_divorced, marital_married, marital_single, default_no, default_yes, housing_no, housing_yes, loan_no, loan_yes, contact_cellular, contact_telephone, contact_unknown, poutcome_failure, poutcome_other, poutcome_success, poutcome_unknown, last_contact.</t>
  </si>
  <si>
    <t>https://drive.google.com/open?id=1brqU2jpZKACWrBwg8kCHPnJGfZo35XEE</t>
  </si>
  <si>
    <t>https://drive.google.com/open?id=1L52JvGd1wRQwwEW7I2HpaQ3vS09a-b91</t>
  </si>
  <si>
    <t>age', 'duration' e 'previous', 11 registros</t>
  </si>
  <si>
    <t>job', 230; 'education', 1489;</t>
  </si>
  <si>
    <t>OHE: 'job', 'marital', 'default', 'housing', 'loan', 'contact', 'poutcome'
LE: 'education'</t>
  </si>
  <si>
    <t>age', 'balance', 'duration', 'campaign', 'pdays', 'previous', 'last_contact'</t>
  </si>
  <si>
    <t>LogisticRegression(max_iter=200) = 0.90
KNeighborsClassifier(3) = 0.89
KNeighborsClassifier(9) = 0.90
RandomForestClassifier(random_state=42) = 0.90</t>
  </si>
  <si>
    <t>O melhor modelo selecionado na validação cruzada foi o RandomForestClassifier(random_state=42), com acuracidade média de 0.91 no treinamento. No conjunto de teste ele obteve acuracidade de 0.91, mas esse número é enganoso: as classes são fortemente desbalanceadas (cerca de 88% dos clientes não subscrevem), e um modelo trivial que sempre responde "no" já atinge 0.88. O ganho real sobre o modelo trivial é de apenas 3 pontos percentuais. A matriz de confusão mostra o problema: dos 1057 clientes que de fato subscreveram, o modelo acertou apenas 434 e deixou de identificar 623. Assim, o recall da classe "yes" é de apenas 0.41, ou seja, o modelo perde cerca de 59% dos clientes que efetivamente fariam a subscrição. A precisão da classe "yes" é 0.65: de cada 100 clientes que o modelo indica para contato, cerca de 65 subscrevem, o que é razoável, mas o F1 dessa classe fica em apenas 0.50. Para a classe "no", o desempenho é alto (precisão 0.93, recall 0.97, F1 0.95), e é isso que sustenta a acuracidade global e o F1 macro de 0.73. Como o objetivo do negócio é justamente encontrar os clientes com maior propensão a subscrever para direcionar o Call Center, a métrica mais relevante é o desempenho na classe "yes", e nela o modelo é fraco. Conclusão: não é um bom modelo para o objetivo proposto. Ele é bom em reconhecer quem não vai subscrever, mas identifica menos da metade dos clientes de interesse. Uma ressalva adicional: o atributo duration só é conhecido depois da ligação, o que limita o uso do modelo para decidir previamente quais clientes contatar.</t>
  </si>
  <si>
    <t>2 casos, [ 0.65, 0.53 ]</t>
  </si>
  <si>
    <t>DecisionTreeRegressor (5 lags), RMSE=0.000</t>
  </si>
  <si>
    <t>ARIMA(0,1,2), RMSE=0.343</t>
  </si>
  <si>
    <t>O melhor modelo de Aprendizado de Máquina no teste foi a LinearRegression com 5 lags (RMSE 0.418), comparado ao ARIMA(0,1,2) (RMSE 0.343). Os resíduos de treino dos dois modelos são muito parecidos. Ambos oscilam em torno de zero, sem tendência nem padrão visível, com desvio padrão praticamente igual (0.568 nos dois). A ACF de ambos fica dentro da banda de confiança em todas as defasagens. O teste de Ljung Box não rejeita a hipótese de ausência de autocorrelação (p = 0.972 na regressão e p = 0.957 no ARIMA), e o teste de Shapiro não rejeita a normalidade (p = 0.838 e p = 0.806). Os resíduos se comportam, portanto, como ruído branco nos dois casos, e os modelos capturaram a estrutura da série. A diferença principal está na média. Na regressão linear ela é zero, porque o intercepto absorve a tendência de alta. No ARIMA ela é levemente positiva (0.066), pois o modelo com uma diferenciação e sem termo de drift subestima sistematicamente a subida do nível do mar. Por isso o ARIMA gera uma previsão plana a partir do terceiro passo. No teste, as médias dos resíduos ficam próximas de zero nos dois modelos (0.011 negativo na regressão e 0.019 no ARIMA). A vantagem do ARIMA no RMSE de teste é pequena e baseada em apenas 5 pontos. Os dois modelos são adequados e equivalentes quanto aos resíduos, mas a regressão linear representa melhor a tendência</t>
  </si>
  <si>
    <t>https://drive.google.com/open?id=1bawLBPi_ZOyY8qLyabR82DDcnKffgd-Y</t>
  </si>
  <si>
    <t>https://drive.google.com/open?id=1yAIXqr72PYjgan2JSNCN8ezYZxRtGdYA</t>
  </si>
  <si>
    <t>age, duration, 9 registros</t>
  </si>
  <si>
    <t>36124, 9032</t>
  </si>
  <si>
    <t>job, 23; education, 1482</t>
  </si>
  <si>
    <t>X_train(36132, 28), X_test(9033, 28)</t>
  </si>
  <si>
    <t>Logistic Regression = 0.893142
KNN (k=3) = 0.877532
KNN (k=9) = 0.884618
Random Forest = 0.904600</t>
  </si>
  <si>
    <t>O modelo final baseado em Random Forest Classifier apresenta uma alta qualidade geral, evidenciada por uma acurácia de ~90,5% nos dados de teste. Sua principal força operacional reside na excelente assertividade para a classe negativa (não subscritores), onde alcança uma precisão e sensibilidade superiores a 93%, o que possibilita filtrar e poupar esforços em contatos telefônicos sem potencial de conversão. Para a classe positiva (subscritores), o modelo demonstra uma precisão sólida de aproximadamente 65% com sensibilidade (recall) de ~45% a 50%, garantindo que, embora não capture a totalidade dos interessados, as ligações indicadas como propensas de fato tenham uma altíssima taxa de conversão (quase 2 em cada 3), otimizando substancialmente o retorno financeiro e operacional da campanha de marketing.</t>
  </si>
  <si>
    <t>0 casos, []</t>
  </si>
  <si>
    <t>DecisionTreeRegressor 5 ou 10 lags, RMSE = 0.000000</t>
  </si>
  <si>
    <t>LinearRegression 5 lags, RMSE = 0.418259</t>
  </si>
  <si>
    <t>A análise dos resíduos no conjunto de teste revela que o modelo ARIMA obteve um desempenho superior e mais consistente (RMSE = 0,3793) em comparação ao modelo de Regressão Linear com 5 lags (RMSE = 0,4182), apresentando erros com menor variabilidade (desvio padrão de 0,3658 contra 0,4181) e uma distribuição de densidade mais concentrada e simétrica em torno de zero, o que evidencia sua maior capacidade de capturar a estrutura de autocorrelação e a tendência temporal da série sem vieses sistemáticos expressivos.</t>
  </si>
  <si>
    <t>https://drive.google.com/open?id=1an8XMN1d8B52-buNGogMI7qL2D4MdfeJ</t>
  </si>
  <si>
    <t>https://drive.google.com/open?id=1HMvB2zOGFFMrFpXE3MBbwuIQTf5cqyqC</t>
  </si>
  <si>
    <t>age, 5 registros</t>
  </si>
  <si>
    <t>X_train(36128, 35), X_test(9032, 35)</t>
  </si>
  <si>
    <t>LogisticRegression = 0.89
RandomForestClassifier = 0.90
KNeighborsClassifier(3) = 0.88
KNeighborsClassifier(9) = 0.89</t>
  </si>
  <si>
    <t>O modelo apresenta uma excelente acurácia geral (em torno de 90%).
No entanto, as métricas de Precision, Recall e F1-Score revelam que o modelo tem
desempenho muito superior para a classe 'no' em comparação à classe 'yes'.
Isso é evidência do desbalanceamento dos dados. Para a classe 'yes', o Recall costuma ser
mais baixo, indicando que o modelo não captura todos os potenciais assinantes, mas a
Precision garante que grande parte dos contatados indicados pelo modelo tem boa chance de aceitar a oferta.
No contexto do negócio, é um bom modelo, pois otimiza os recursos do call-center.</t>
  </si>
  <si>
    <t>1 caso, [0.75]</t>
  </si>
  <si>
    <t>O modelo ARIMA apresentou o menor erro geral no conjunto de teste, sendo mais estável.
Analisando a distribuição dos resíduos de treinamento, ambos os modelos apresentam
resíduos centrados em zero e com distribuição que se aproxima de uma normal, o que é um bom sinal.
No entanto, nos dados de teste (os 5 últimos passos da série), o ARIMA manteve os resíduos mais próximos de zero e melhor controlados, enquanto a Regressão Linear teve erros maiores.
O ARIMA conseguiu capturar a dinâmica e tendência da série temporal de forma um pouco
mais robusta do que o modelo de Machine Learning tradicional.</t>
  </si>
  <si>
    <t>https://drive.google.com/open?id=12kMrF23lLe4eqgipVMYRpVkTgWyhLL1d</t>
  </si>
  <si>
    <t>https://drive.google.com/open?id=1ORt7vmJHGP750LijaePJH1PwYfLrH_aJ</t>
  </si>
  <si>
    <t>Guilherme Martins souza paula</t>
  </si>
  <si>
    <t>age, duration, 8 registros</t>
  </si>
  <si>
    <t>36125, 9032</t>
  </si>
  <si>
    <t>job, 231; education, 1483;</t>
  </si>
  <si>
    <t>age, education, balance, duration, campaign, pdays, previous, year, day</t>
  </si>
  <si>
    <t>X_train(36125, 40), X_test(9032, 40)</t>
  </si>
  <si>
    <t>LogisticRegression = 0.90 RandomForestClassifier = 0.91
KNeighborsClassifier(3) = 0.89
KNeighborsClassifier(9) = 0.90</t>
  </si>
  <si>
    <t>O melhor modelo selecionado foi o RandomForestClassifier.
O modelo não é ideal para prever a classe de interesse (clientes que farão a subscrição). Apesar de apresentar uma alta acurácia global (aproximadamente 90%), essa métrica é enganosa devido ao desbalanceamento das classes (a grande maioria é 'no').
Evidências: Observando as métricas para a classe 'yes' (subscreveu), vemos que a precisão é de 0.65 (65% de acerto quando o modelo diz que haverá subscrição) e o recall é baixo, apenas 0.41 (o modelo só consegue identificar 41% dos clientes que realmente subscreveram). O F1-score para a classe 'yes' ficou em 0.50. Isso significa que a campanha deixaria de contatar muitos clientes potenciais (altos Falsos Negativos), tornando-o um preditor fraco para a classe minoritária.</t>
  </si>
  <si>
    <t>1 caso, [ 0.75 ]</t>
  </si>
  <si>
    <t>LinearRegression(), RMSE=0.335</t>
  </si>
  <si>
    <t>Idealmente, os resíduos de um bom preditor em séries temporais devem se comportar como ruído branco: não apresentar padrões discerníveis ao longo do tempo (média em torno de zero, variância relativamente constante) e não ter autocorrelação significativa (valores no gráfico ACF caindo rapidamente dentro do intervalo de confiança - faixa azul).
Regressão Linear (10 lags): Consegue prever muito bem baseada nos valores passados e geralmente reduz grande parte do erro. No entanto, por ser um modelo puramente baseado em regressão múltipla dos lags, muitas vezes deixa escapar algumas dependências de médias móveis que podem gerar ligeira autocorrelação nos resíduos remanescentes.
ARIMA: Por ser estatisticamente desenhado especificamente para séries temporais, integrando a diferenciação (I) e o tratamento dos erros passados (MA - Moving Average), tende a "limpar" mais eficientemente a correlação serial. Os resíduos do ARIMA costumam ter um gráfico de ACF mais bem comportado, indicando que extraiu o máximo de informação temporal possível da série.
Ambos tiveram excelentes resultados no RMSE, mas o diagnóstico dos resíduos (como pode ser visto gerando os gráficos da célula) confirma se os resíduos estão desprovidos de informação útil ou se algum dos modelos ainda pode ser melhorado.</t>
  </si>
  <si>
    <t>https://drive.google.com/open?id=1C1ZY2cZZxU84YSbqq9KRLh32oq6TzhWw</t>
  </si>
  <si>
    <t>https://drive.google.com/open?id=1WB1K-UpJ_vy9U0WlqWesVUzvPcz6CVCC</t>
  </si>
  <si>
    <t xml:space="preserve">
X_train(36123, 28), X_test(9031, 28)</t>
  </si>
  <si>
    <t>LogisticRegression = 0.9000 RandomForestClassifier = 0.9044
KNeighborsClassifier(3) = 0.8869
KNeighborsClassifier(9) = 0.8950</t>
  </si>
  <si>
    <t>O melhor modelo (RandomForestClassifier) não é um bom modelo para o objetivo do case. A acuracidade no teste é 0.904, igual à do cross-validation (0.904), o que indica que não há overfitting. Porém as classes são desbalanceadas: 88.3% dos clientes são "no", e um modelo que respondesse sempre "no" já teria acuracidade de 0.883, apenas 2 pontos abaixo. A acuracidade, portanto, engana. Na classe de interesse ("yes", quem subscreve), o recall é 0.39: o modelo identifica apenas 414 dos 1057 clientes que subscreveram e perde 643 (61%). A precisão para "yes" é 0.65 (220 falsos positivos) e o F1 é 0.49. As métricas da classe "no" são altas (precisão 0.92, recall 0.97), mas o objetivo da campanha é encontrar quem vai subscrever, e nisso o modelo é fraco.</t>
  </si>
  <si>
    <t>1 caso, [ 0.57 ]</t>
  </si>
  <si>
    <t>DecisionTreeRegressor (3 e 10 lags), RMSE=0.000</t>
  </si>
  <si>
    <t>ARIMA, RMSE=0.4235</t>
  </si>
  <si>
    <t>O melhor modelo de Aprendizado de Máquina no teste foi a LinearRegression com 10 lags. Seus resíduos de treinamento, comparados aos do ARIMA(3,1,0), são praticamente equivalentes: média próxima de zero nos dois (0.00 e 0.06) e mesma dispersão (desvio padrão 0.563 e 0.569). Os dois apresentam distribuição normal, com histograma simétrico e Q-Q plot alinhado (Shapiro p = 0.75 e 0.81). Nenhum apresenta autocorrelação: a ACF dos resíduos fica dentro da faixa de significância (Ljung-Box p = 1.00 e 0.90). Os resíduos dos dois modelos se comportam como ruído branco, ou seja, os dois capturaram a estrutura da série e são adequados. Pelo princípio da parcimônia, o ARIMA(3,1,0) é preferível: tem 3 parâmetros contra 11 da regressão com 10 lags e erro de teste igual ou menor.</t>
  </si>
  <si>
    <t>https://drive.google.com/open?id=1O4EtTvymqSzps52MZXEgjDbMOwUfUvNy</t>
  </si>
  <si>
    <t>https://drive.google.com/open?id=1ZfuBksZNBnqudC0m05NfyUpFRHQ6ykmX</t>
  </si>
  <si>
    <t>age, duration, previous, 9 registros</t>
  </si>
  <si>
    <t>job, 231; education, 1479</t>
  </si>
  <si>
    <t>X_train(36124, 28), X_test(9032, 28)</t>
  </si>
  <si>
    <t>LogisticRegression = 0.9006 RandomForestClassifier = 0.9050 
KNeighborsClassifier(3) = 0.8892 
KNeighborsClassifier(9) = 0.8943</t>
  </si>
  <si>
    <t>O modelo Random Forest obteve uma excelente acurácia geral de cerca de 90%. No entanto, ao analisar as métricas da classe minoritária ('yes'), observamos um F1-score de 0.49 (precision de 0.64 e recall de 0.40). Isso indica que, embora o modelo seja ótimo para identificar quem não vai subscrever, ele ainda tem dificuldade em capturar todos os verdadeiros interessados, o que é um reflexo do desbalanceamento dos dados originais.</t>
  </si>
  <si>
    <t>2 casos, [ 0.61, 0.51 ]</t>
  </si>
  <si>
    <t>Regressão Linear (10 lags), RMSE=0.5627</t>
  </si>
  <si>
    <t>ARIMA(1,1,1), RMSE=0.3793</t>
  </si>
  <si>
    <t>Ambos os modelos (Regressão Linear com 5 lags e ARIMA) acompanham bem a tendência e apresentam erros próximos de zero no conjunto de teste. O ARIMA mostrou-se levemente superior, com resíduos um pouco menores e mais estáveis, demonstrando lidar ligeiramente melhor com a dependência temporal direta, enquanto a Regressão Linear também obteve um excelente desempenho acompanhando os altos e baixos da série temporal.</t>
  </si>
  <si>
    <t>https://drive.google.com/open?id=1MWEbzGCwsTqQtFsRijVRYoo-HF8hQxHY</t>
  </si>
  <si>
    <t>https://drive.google.com/open?id=1iB0-d_wojv7V9QxadoQLe8I43ndtr2ak</t>
  </si>
  <si>
    <t>age, duration, previous, 9 registros excluídos</t>
  </si>
  <si>
    <t>36.124, 9.032.</t>
  </si>
  <si>
    <t>job, 231; education, 1.479;</t>
  </si>
  <si>
    <t>LogisticRegression = 0,900343
RandomForestClassifier = 0,903001
KNeighborsClassifier(3) = 0,888052
KNeighborsClassifier(9) = 0,893755</t>
  </si>
  <si>
    <t>O melhor modelo foi o RandomForestClassifier, com acurácia de 0,9049 no teste. Entretanto, ele não é plenamente adequado ao objetivo da campanha. A acurácia da classe majoritária já era 0,8830, portanto o ganho foi de apenas 2,19 pontos percentuais. Para a classe yes, a precisão foi 0,6505, o recall 0,4049 e o F1-score 0,4991. A matriz de confusão apresentou 629 falsos negativos, indicando que o modelo deixa de identificar aproximadamente 60% dos clientes que fariam a subscrição.</t>
  </si>
  <si>
    <t>2 casos, com probabilidades [0,62, 0,56]</t>
  </si>
  <si>
    <t>DecisionTreeRegressor com 5 e 10 lags, empatados com RMSE de treinamento igual a 0,000000</t>
  </si>
  <si>
    <t>LinearRegression com 5 lags, RMSE de teste igual a 0,418259</t>
  </si>
  <si>
    <t>A regressão linear com 5 lags apresentou resíduos mais centrados em zero e ligeiramente menos dispersos: média de -0,011052, desvio-padrão de 0,467465 e autocorrelação de lag 1 de -0,323587. No ARIMA(3,1,1), os valores foram média 0,024215, desvio-padrão 0,472048 e autocorrelação -0,324550. Os resultados são muito próximos, mas a regressão linear foi ligeiramente melhor, inclusive no RMSE de teste. Como existem somente cinco observações de teste, essa comparação deve ser interpretada com cautela.</t>
  </si>
  <si>
    <t>https://drive.google.com/open?id=1ZjjORvb-DWTExsUwjUjwjERTk7tX5u77</t>
  </si>
  <si>
    <t>https://drive.google.com/open?id=1vZC3sG0H-xrms-Bebxlob_LaIkviRcwo</t>
  </si>
  <si>
    <t>X_train(36123, 28), X_test(36123, 28)</t>
  </si>
  <si>
    <t>LogisticRegression = 0.90 RandomForestClassifier = 0.90
KNeighborsClassifier(3) = 0.89
KNeighborsClassfier(9) = 0.90</t>
  </si>
  <si>
    <t>O melhor modelo foi o RandomForestClassifier. Apesar da alta acurácia global (~90%), ele é ineficiente na classe alvo devido ao baixo Recall (0.40), perdendo muitos clientes propensos, embora tenha uma Precision aceitável (0.65).</t>
  </si>
  <si>
    <t>2 casos, [0.52, 0.51]</t>
  </si>
  <si>
    <t>DecisionTreeRegressor, RMSE=0.0</t>
  </si>
  <si>
    <t>LinearRegression (5 lags), RMSE=0.418</t>
  </si>
  <si>
    <t>Os resíduos da Regressão Linear (ML) apresentam média mais próxima de zero e variância ligeiramente menor que o ARIMA. Ambos indicam bons ajustes, mas o modelo de ML foi marginalmente superior e mais estável.</t>
  </si>
  <si>
    <t>https://drive.google.com/open?id=12QD-YtuWEDwZom03jipdxzBSOb8eJ-f4</t>
  </si>
  <si>
    <t>https://drive.google.com/open?id=1cSWDr_Fz0_kp5lX9WeUQR8Ehd8YTisri</t>
  </si>
  <si>
    <t>46 registros</t>
  </si>
  <si>
    <t>36132, 9033</t>
  </si>
  <si>
    <t>job,226; education, 1503</t>
  </si>
  <si>
    <t>X_train(36132, 35), X_test(9033, 35)</t>
  </si>
  <si>
    <t>RandomForestClassifier() = 1.00
LogisticRegression(max_iter=200) = 0.90
KNeighborsClassifier(k=9) = 0.91
KNeighborsClassifier(k=3) = 0.93</t>
  </si>
  <si>
    <t>Baseado nas informações da Cross Validation, a acurácia de 0.9050, e a precisão de 0.6661, recall de 0.3775, e f1-score de 0.4819 da classe yes, podemos avaliar que esse modelo é um bom modelo para o nosso caso.</t>
  </si>
  <si>
    <t>1 caso, [ 0.40 0.60 ]</t>
  </si>
  <si>
    <t>DecisionTreeRegressor,RMSE=0.00</t>
  </si>
  <si>
    <t>LinearRegression,RSME=0.42</t>
  </si>
  <si>
    <t>O modelo ML apresenta média residual 0.000000, desvio padrão 0.568400 e Durbin-Watson 1.9953.
Detalhes do modelo ARIMA para resíduos não disponíveis.
Em uma análise de resíduos, busca-se média próxima de zero, baixa dispersão e ausência de autocorrelação relevante. O teste de Ljung-Box é complementar: p-value &gt; 0,05 não fornece evidência suficiente para rejeitar a hipótese de ausência de autocorrelação.
Ljung-Box ML p=0.971975; Ljung-Box ARIMA p=nan.</t>
  </si>
  <si>
    <t>https://drive.google.com/open?id=1mokhYP_QsQn5NALyQ20tz61dcw458Kf8</t>
  </si>
  <si>
    <t>https://drive.google.com/open?id=1OhfOZl7lJA5W-YDTMMB2BCFRiZmp06CO</t>
  </si>
  <si>
    <t>LogisticRegression = 0.90
RandomForestClassifier = 0.90
KNeighborsClassifier(3) = 0.89
KNeighborsClassifier(9) = 0.90</t>
  </si>
  <si>
    <t>O Random Forest foi selecionado como o melhor modelo por apresentar a maior acurácia no treinamento (0.9035).
No conjunto de teste, o modelo apresenta uma acurácia alta global. Contudo, observando as métricas de Precision, Recall e F1-score,
nota-se que o modelo é excelente para prever a classe majoritária (0 - não subscreveu), mas tem um recall consideravelmente menor
para a classe minoritária (1 - subscreveu). Isso significa que, embora seja um bom modelo global, ele perde algumas oportunidades
(falsos negativos) de identificar clientes que realmente fariam a subscrição, devido ao desbalanceamento original dos dados.</t>
  </si>
  <si>
    <t>1 casos, [0.61]</t>
  </si>
  <si>
    <t>DecisionTreeRegressor, RMSE=0.000000</t>
  </si>
  <si>
    <t>ARIMA, RMSE=0.379304</t>
  </si>
  <si>
    <t>O melhor modelo de Aprendizado de Máquina (ML) no teste foi a Linear Regression (10 lags) com RMSE = 0.424190. Os modelos de ML tratam a série temporal adaptando-a para um problema de aprendizado supervisionado, onde mapeiam os valores passados (lags) como variáveis independentes (features) para prever a saída atual. Apesar de a Regressão Linear conseguir uma ótima aproximação dessa forma, o modelo estatístico ARIMA obteve um RMSE menor no teste (0.379304). Como o RMSE representa o desvio padrão dos resíduos, conclui-se que os resíduos do ARIMA apresentam menor variância e estão mais concentrados em torno de zero. Isso significa que o ARIMA, por ser um modelo com características nativas para modelar séries temporais (que trata matematicamente as médias móveis dos erros e a autocorrelação temporal), conseguiu capturar padrões intrínsecos que a adaptação supervisionada dos lags da Regressão Linear não conseguiu isolar completamente, gerando previsões mais robustas e resíduos menores.</t>
  </si>
  <si>
    <t>https://drive.google.com/open?id=1Lo2CT3jHjoGqh1jzQv1Xt66ZAQ-3OqYt</t>
  </si>
  <si>
    <t>https://drive.google.com/open?id=1Bbun0h8YJxijG8GZnNThzRIKPN5USIrV</t>
  </si>
  <si>
    <t>job, 230; education, 1489</t>
  </si>
  <si>
    <t>OHE: job, marital, contact, poutcome
LE: education</t>
  </si>
  <si>
    <t>X_train(36123, 32), X_test(9031, 32)</t>
  </si>
  <si>
    <t>RandomForestClassifier = 0.9029, 
LogisticRegression = 0.9000, 
KNeighborsClassifier(9) = 0.8972,
KNeighborsClassifier(3) = 0.8904</t>
  </si>
  <si>
    <t>Com o limiar padrão de 0,5, o modelo não é bom para o objetivo do negócio, porque perde a maioria dos clientes que aceitariam a oferta. Ainda assim, ele tem valor. A AUC alta mostra que as probabilidades que ele gera ordenam bem os clientes, então ele serve para priorizar a lista de ligações do Call-Center. Reduzir o limiar de decisão ou tratar o desbalanceamento das classes (por exemplo, com class_weight='balanced') aumentaria o recall da classe "sim" em troca de alguma perda de precisão, o que tende a ser vantajoso numa campanha em que perder um cliente interessado custa mais do que fazer uma ligação a mais.</t>
  </si>
  <si>
    <t>1 caso, [ 0.61 ]</t>
  </si>
  <si>
    <t>DecisionTreeRegressor, RMSE=0.000</t>
  </si>
  <si>
    <t>ARIMA, RMSE=0.339</t>
  </si>
  <si>
    <t>O melhor modelo de ML no teste é a LinearRegression com 10 lags (RMSE 0.424). Os resíduos dela e do ARIMA(2,1,1) no treino se comportam de forma muito parecida: desvio aproximado de 0.57, distribuição aproximadamente normal (Shapiro p ≈ 0.75 e 0.76) e sem autocorrelação relevante (Ljung-Box lag 10 p ~1.00 e 0.81; ACF dentro das bandas). Os dois se comportam como ruído branco, então ambos capturaram a estrutura da série. A diferença é que os resíduos do ARIMA têm média levemente positiva (~0.07) porque o modelo com d=1 não inclui termo de tendência (drift), subestimando um pouco a série em alta; a regressão linear tem resíduo de média zero por construção. No teste o ARIMA generaliza melhor (0.339 vs 0.424).</t>
  </si>
  <si>
    <t>https://drive.google.com/open?id=1Ru_9pEwJDeU2_YS4VhoYN1tKQqsmE9fF</t>
  </si>
  <si>
    <t>https://drive.google.com/open?id=11LqEcr7WK37BKsvhOT84bOQ2gQrypAWw</t>
  </si>
  <si>
    <t>LUCAS CASTANHO PAGANOTTO CARVALHO</t>
  </si>
  <si>
    <t>Age, Previous, Duration, 11 registros</t>
  </si>
  <si>
    <t>OHE: job, marital, default, housing, loan, contact, poutcome
LE: nenhum:</t>
  </si>
  <si>
    <t>age, 'balance', 'duration', 'campaign', 'pdays', 'previous', 'last_contact'</t>
  </si>
  <si>
    <t>KNeighborsClassifier(k=3): 0.8867
KNeighborsClassifier(k=9): 0.8956
LogisticRegression: 0.8998
RandomForestClassifier: 0.9038</t>
  </si>
  <si>
    <t>Analisando a acurancia, a precisão e o f1, ele é um bom modelo. Mas o recall para quando é 'yes' é um pouco baixo, mostrando que ele não é tão bom para identificar aquela classe.</t>
  </si>
  <si>
    <t>https://drive.google.com/open?id=1NJOnM5Ci85wblpi1uxOqwpGWluGSAjxF</t>
  </si>
  <si>
    <t>https://drive.google.com/open?id=1LCT_NTGI9UZAanj9LRQR8YT3P2bKpfE1</t>
  </si>
  <si>
    <t>job, 231; education, 1479;</t>
  </si>
  <si>
    <t>X_train(36124, 36), X_test(9032, 36)</t>
  </si>
  <si>
    <t>LogisticRegression = 0.90 RandomForestClassifier = 1.00
KNeighborsClassifier(3) = 0.94
KNeighborsClassifier(9) = 0.91</t>
  </si>
  <si>
    <t>O modelo RandomForest foi selecionado por apresentar a melhor acurácia no treinamento (1.00, com forte indício de overfitting). Olhando os dados de teste (classification_report), vemos uma boa acurácia global (aprox. 90%). Contudo, é preciso avaliar a classe alvo ('yes'). A precisão é razoável (aprox. 64%), mas o recall é bastante baixo (~39%), o que significa que o modelo deixa de identificar mais de 60% dos clientes que realmente fariam a subscrição. Apesar de razoável, não é um 'bom' modelo definitivo para a área de negócios se o objetivo é capturar o máximo de interessados, indicando necessidade de técnicas para balancear as classes no futuro.</t>
  </si>
  <si>
    <t>11 casos, [np.float64(0.52), np.float64(0.56), np.float64(0.53), np.float64(0.53), np.float64(0.57), np.float64(0.52), np.float64(0.51), np.float64(0.56), np.float64(0.51), np.float64(0.51), np.float64(0.56)]</t>
  </si>
  <si>
    <t>Observando a tabela de erros no conjunto de teste, o ARIMA apresentou os menores resíduos e o menor erro (RMSE de 0.343), superando o melhor modelo de Machine Learning, que foi a Regressão Linear com 5 lags (RMSE de ~0.418). A Árvore de Decisão teve um claro overfitting (RMSE 0 no treino e ~0.75 no teste). Isso demonstra que, para os dados de variação do nível do mar, as características autorregressivas do ARIMA conseguiram capturar e explicar muito melhor os padrões da série temporal, gerando resíduos menores e maior capacidade de generalização.</t>
  </si>
  <si>
    <t>https://drive.google.com/open?id=19w3fqSLkyZZmuzjpm3IJmmVr3OyyL9-5</t>
  </si>
  <si>
    <t>https://drive.google.com/open?id=1TbK2It6vB5YUrxnE30CZB3LK8iESSZAf</t>
  </si>
  <si>
    <t>job, education, 1729 registros</t>
  </si>
  <si>
    <t>job, 226; education, 1503</t>
  </si>
  <si>
    <t>X_train(36132, 17), X_test(9033, 17)</t>
  </si>
  <si>
    <t>LogisticRegression: 0.9004
KNeighborsClassifier_k3: 0.9325
KNeighborsClassifier_k9: 0.9071
RandomForestClassifier: 1.0000</t>
  </si>
  <si>
    <t>Embora a acurácia no treinamento seja perfeita, a performance no conjunto de teste é consideravelmente menor, sugerindo que o modelo generalizou mal para dados não vistos. Isso é um sinal clássico de overfitting. As métricas de precisão, recall e F1-score para a classe 'yes' são mais relevantes para este problema de negócio, e são moderadas, indicando que o modelo tem dificuldade em identificar clientes que realmente se inscreverão ('yes') sem gerar muitos falsos positivos ou falsos negativos. Isso mostra que o modelo não é 'bom' o suficiente para ser usado sem melhorias.</t>
  </si>
  <si>
    <t>13 casos</t>
  </si>
  <si>
    <t>https://drive.google.com/open?id=1dpCqldGXXp1lXwEeHj1rNw0OjIBTn9HT</t>
  </si>
  <si>
    <t>https://drive.google.com/open?id=18RChnsDv5U3Li8JLE1phZGFOyyYaq6jm</t>
  </si>
  <si>
    <t>X_train: (36124, 28)
X_test: (9032, 28)</t>
  </si>
  <si>
    <t>LogisticRegression = 0.9001
RandomForestClassifier = 0.9047
KNeighborsClassifier(3) = 0.8865
KNeighborsClassifier(9) = 0.8956</t>
  </si>
  <si>
    <t>É um modelo mediano. Embora a acurácia global seja alta porque ele acerta quase todos os casos de não subscrição ('no' tem F1-score de 0,95), ele não é excelente para identificar os potenciais clientes positivos. A baixa revocação da classe yes significa que a campanha deixará de contatar muitos clientes que teriam interesse.</t>
  </si>
  <si>
    <t>1 caso, [0.39, 0.61]</t>
  </si>
  <si>
    <t>DecisionTreeRegressor, RMSE= 0.000</t>
  </si>
  <si>
    <t>ARIMA, RMSE = 0.379</t>
  </si>
  <si>
    <t>O melhor modelo de Aprendizado de Máquina nos dados de teste foi a Regressão Linear com 10 lags (RMSE = 0.4242). Ao comparar seus resíduos (cujas magnitudes são representadas pelo RMSE) com os do ARIMA(1, 1, 1) (RMSE = 0.3793), observamos que o ARIMA generalizou melhor. O modelo ARIMA, por ser um modelo estatístico projetado para séries temporais, conseguiu capturar melhor a tendência e a autocorrelação (diferenciação e médias móveis) do que o modelo de Machine Learning focado apenas em features baseadas em defasagens (lags).</t>
  </si>
  <si>
    <t>https://drive.google.com/open?id=1-gmBMgubOqS0safHzB9ggJYleGI0wx0V</t>
  </si>
  <si>
    <t>https://drive.google.com/open?id=1YcHTABhYp3A7TgCH0Z50LWPMVrv8xmnB</t>
  </si>
  <si>
    <t>age: 7 registros; duration: 3 registros; previous: 1 registro. Foram excluídos 11 registros ao todo. São valores extremos e plausivelmente errados: idades incompatíveis com clientes adultos, ligações acima de 24 horas e 1275 contatos anteriores.</t>
  </si>
  <si>
    <t>36.123 instâncias. Teste: 9.031 instâncias.</t>
  </si>
  <si>
    <t>job: 230 valores imputados. education: 1.489 valores imputados em X_train</t>
  </si>
  <si>
    <t>One Hot Encode: job, marital, default, housing, loan, contact e poutcome. Label/Ordinal Encode: education (primary = 0, secondary = 1, tertiary = 2)</t>
  </si>
  <si>
    <t>age, balance, duration, campaign, pdays, previous, last_contact e education codificada ordinalmente</t>
  </si>
  <si>
    <t>X_train: (36.123, 28). X_test: (9.031, 28)</t>
  </si>
  <si>
    <t>Acurácia média na validação cruzada (5 folds): LogisticRegression = 0,899704; KNeighborsClassifier (k=3) = 0,885364; KNeighborsClassifier (k=9) = 0,895330; RandomForestClassifier = 0,902998</t>
  </si>
  <si>
    <t>O melhor modelo foi o Random Forest, selecionado pela maior acurácia média na validação cruzada. No teste, obteve acurácia 0,905105. Para a classe yes, precisão = 0,651057, recall = 0,407758 e F1 = 0,501454. A matriz de confusão, na ordem no e yes, foi [[7743, 231], [626, 431]]. O modelo identifica bem os não assinantes, mas não encontra 626 dos 1.057 assinantes. Portanto, ajuda a priorizar contatos, embora o recall da classe de interesse seja limitado. A acurácia de treino igual a 1,0 também indica sobreajuste</t>
  </si>
  <si>
    <t>Empate: DecisionTreeRegressor com 5 lags e DecisionTreeRegressor com 10 lags, ambos com RMSE de treino 0,000000.</t>
  </si>
  <si>
    <t xml:space="preserve">LinearRegression com 10 lags, RMSE de teste 0,335388.
</t>
  </si>
  <si>
    <t>LinearRegression com 10 lags, RMSE de teste 0,335388</t>
  </si>
  <si>
    <t>O melhor modelo de aprendizado de máquina no teste foi a regressão linear com 10 lags. Seus resíduos nos cinco pontos de teste foram aproximadamente 0,1676; -0,1874; -0,3543; 0,3224; 0,5194, com média 0,0936 e RMSE 0,3354. Os resíduos do ARIMA(2,1,1) foram 0,0975; -0,3674; -0,5811; 0,0703; 0,2979, com média -0,0966 e RMSE 0,3394. Ambos tiveram erros próximos e alternaram sinais; a regressão linear teve pequena vantagem nos cinco pontos avaliados. Em treino, a autocorrelação de lag 1 ficou próxima de zero nos dois modelos. Como o teste tem apenas cinco observações, não é possível tirar conclusões fortes sobre a distribuição futura dos erros.</t>
  </si>
  <si>
    <t>https://drive.google.com/open?id=1pgvCi5-q6NLp9JajowQwOAhkl1yJl7lZ</t>
  </si>
  <si>
    <t>https://drive.google.com/open?id=1ixOnv0chHa6kepo8F17uMAAcTt91ivp_</t>
  </si>
  <si>
    <t>age, duration, 10 registros</t>
  </si>
  <si>
    <t>job, 226; education, 1503;</t>
  </si>
  <si>
    <t>LogisticRegression = 0.90 RandomForestClassifier = 0.90
KNeighborsClassifier(3) = 0.89
KNeighborsClassifier(9) = 0.89</t>
  </si>
  <si>
    <t>O modelo apresenta uma excelente acurácia global, mas avaliando as métricas de recall para a classe "yes", nota-se que ele ainda perde falsos negativos devido ao desbalanceamento das classes.</t>
  </si>
  <si>
    <t>1 caso, [ 0.59 ]</t>
  </si>
  <si>
    <t>DecisionTreeRegressor, RMSE=0.00</t>
  </si>
  <si>
    <t>ARIMA, RMSE=0.34</t>
  </si>
  <si>
    <t>O melhor modelo de Aprendizado de Máquina no teste foi a Regressão Linear com 5 lags (RMSE = 0.42 no teste). Ao compará-lo com o modelo ARIMA (RMSE = 0.34 no teste), nota-se que o ARIMA apresentou um desempenho preditivo superior e mais robusto. Já os modelos de Árvore de Decisão memorizaram os dados de treinamento (RMSE = 0.00), sofrendo um claro overfitting, o que resultou no pior desempenho entre todos durante o teste (RMSE = 0.75).</t>
  </si>
  <si>
    <t>https://drive.google.com/open?id=1PQsYWOPRdIALY5HddbSKKMTV5FhbXPJT</t>
  </si>
  <si>
    <t>https://drive.google.com/open?id=18Si1o4aOSmd8krGhRJBMA_ih8w3iGTUj</t>
  </si>
  <si>
    <t>age, duration, previous, 11</t>
  </si>
  <si>
    <t>OHE: job, martial, default, housing, loan, contact, poutcome
LE: education</t>
  </si>
  <si>
    <t>O modelo final (RandomForestClassifier) tem acurácia de 0,907 no teste, próxima à da validação cruzada 0,904, mostrando boa generalização.</t>
  </si>
  <si>
    <t>2 casos, [0.61, 0.57]</t>
  </si>
  <si>
    <t>ARIMA, RMSE=0.43</t>
  </si>
  <si>
    <t>Ambos os resíduos se comportam como ruído branco (Shapiro-Wilk p &gt; 0.05 e Ljung-Box p &gt; 0.05). O ARIMA(2,1,1) generaliza melhor no teste com RMSE = 0.3394 vs 0.4183 da Regressão Linear.</t>
  </si>
  <si>
    <t>https://drive.google.com/open?id=1ExHWvme1JHh81paYo9RMHn0nelF49j85</t>
  </si>
  <si>
    <t>https://drive.google.com/open?id=1cUXY4KBEIOHK5IMO2NmL9lbpXJ8BW-RK</t>
  </si>
  <si>
    <t>job, 229; education, 1482</t>
  </si>
  <si>
    <t>X_train (36128, 28), X_test (9032, 28)</t>
  </si>
  <si>
    <t>RandomForestClassifier() = 0.9046
LogisticRegression(max_iter=200) = 0.8947
KNeighborsClassifier(9) = 0.8864
KNeighborsClassifier(3) = 0.8734</t>
  </si>
  <si>
    <t>O modelo tem alta acuracidade geral devido ao desbalanceamento das classes (muito mais "no"). No entanto, observando o F1-score e Recall para a classe "yes", vemos que ele acerta uma proporção menor dos clientes que realmente assinam o serviço.</t>
  </si>
  <si>
    <t>2 casos, [ 0.60, 0.54 ]</t>
  </si>
  <si>
    <t>DecisionTreeRegressor, RMSE = 0</t>
  </si>
  <si>
    <t>ARIMA, RMSE = 0.343</t>
  </si>
  <si>
    <t>Com base nos RMSEs calculados, o modelo ARIMA tende a apresentar um erro (resíduo) equilibrado e consistente. Modelos como DecisionTree podem apresentar overfitting, tendo um erro muito baixo no treino e mais alto ou variável no teste, o que refletiria em resíduos próximos de zero no treinamento, mas com variância considerável nos dados não vistos em comparação ao comportamento mais estável do ARIMA.</t>
  </si>
  <si>
    <t>https://drive.google.com/open?id=1VU4RA0lvVdEVJtdOaETLOPBNhwcBc2PB</t>
  </si>
  <si>
    <t>https://drive.google.com/open?id=12hCTSxa8VVJgVj7-6rlE3WadRApxKnIg</t>
  </si>
  <si>
    <t>Rafael.Assanti@gmail.com</t>
  </si>
  <si>
    <t>education, 1489; job, 230;</t>
  </si>
  <si>
    <t>OHE: job, marital, default, housing, loan, contact, poutcome LE: education</t>
  </si>
  <si>
    <t>LogisticRegression = 0.9001 RandomForestClassifier = 0.9044 KNeighborsClassifier(3) = 0.8874 KNeighborsClassifier(9) = 0.8961</t>
  </si>
  <si>
    <t>O modelo vencedor foi o Random Forest, com acurácia de 0,9044 na validação cruzada e 0,9047 no teste. Contudo, classificá-lo como um 'bom modelo' é forte demais e inadequado. Como a base de dados é altamente desbalanceada (88,3% de classe 'no'), a alta acurácia é apenas um reflexo dessa distribuição, trazendo um ganho real de apenas ~2% sobre um classificador ingênuo.
Olhando para as métricas da classe de interesse ('yes'), o modelo apresenta sérias limitações: um recall de apenas 0,39 (deixa passar 61% dos clientes propensos) e uma precisão de 0,66. Embora ele possa ter alguma utilidade prática para reduzir custos operacionais (otimizando a assertividade das ligações realizadas), o modelo falha na tarefa de identificar a maioria dos clientes que aceitariam o depósito, sendo, portanto, um classificador limitado e conservador.</t>
  </si>
  <si>
    <t>Decision Tree Regressor, RMSE=0.000</t>
  </si>
  <si>
    <t>Linear Regression (5 lags), RMSE=0.418</t>
  </si>
  <si>
    <t>Os resíduos da Regressão Linear com 5 lags, eleito o melhor modelo de aprendizado de máquina no teste, e do modelo ARIMA(0,1,2) são praticamente equivalentes e se comportam como ruído branco. Ambos apresentam uma distribuição aproximadamente normal e variância constante ao longo do tempo (desvio padrão de 0,567). Além disso, os dois modelos demonstram que as autocorrelações nos primeiros atrasos são extremamente próximas de zero, indicando que capturaram com sucesso toda a estrutura sistemática da série temporal (a tendência e as dependências de curto prazo). A única diferença marginal reside na média dos erros: enquanto a Regressão Linear crava exatamente zero por possuir um intercepto que centraliza os resíduos, o ARIMA(0,1,2) apresenta uma média residual muito baixa, de 0,066, por não utilizar um termo de tendência na série diferenciada. Do ponto de vista de modelagem, o ARIMA é o mais parsimonioso por explicar essa dinâmica com apenas dois parâmetros na primeira diferença, enquanto a regressão linear exige a estimativa de cinco coeficientes de defasagem além de sua constante.</t>
  </si>
  <si>
    <t>https://drive.google.com/open?id=1A8l-V6jWg60uojhqjPJ3EuJlLQ17QPW9</t>
  </si>
  <si>
    <t>https://drive.google.com/open?id=1dtc-lfadjkzE66tXNqQsXZq3-_ikn6tL</t>
  </si>
  <si>
    <t>age, balance, duration, campaign, previous, 9 registros</t>
  </si>
  <si>
    <t>X_train(36124, 40), X_test(9032, 40)</t>
  </si>
  <si>
    <t>Sim, uma acurácia de 0.91 no Random Forest mostra que o modelo é altamente robusto e consistente, mantendo o patamar do treino e não apresentando sinais de overfitting. Há uma excelente Previsão de Não Subscrição (Classe 'no') (96.99%) e uma Previsão de Subscrição (Classe 'yes' - Foco do Negócio) razoável (65.32%). O modelo é excelente para filtrar e evitar contatos inúteis (classe 'no'), mas deixa a desejar em capturar a totalidade de potenciais clientes interessados devido ao forte desbalanceamento de classes original da base.</t>
  </si>
  <si>
    <t>1 caso, [0.64]</t>
  </si>
  <si>
    <t>DecisionTreeRegressor() (com lags 3 ou 10), RMSE=0.0</t>
  </si>
  <si>
    <t>O modelo de Árvore de Decisão (com lags 10) apresentou um ajuste perfeito no treinamento (resíduos iguais a zero), caracterizando forte sobreajuste (overfitting). Isso resultou em uma péssima generalização no teste (RMSE de 0.754). Em contrapartida, os modelos de Regressão Linear e, principalmente, o ARIMA (1,1,1) apresentaram resíduos mais consistentes e bem distribuídos tanto no treino quanto no teste. O ARIMA obteve o menor erro de teste (RMSE=0.379), demonstrando que modelar explicitamente a autocorrelação e a tendência estocástica produz resíduos mais próximos do ruído branco e maior capacidade preditiva real fora da amostra do que os algoritmos de ML puros avaliados.</t>
  </si>
  <si>
    <t>https://drive.google.com/open?id=1vPu3fhMv3RQtxGOB9uusbAVSfSFZfgHg</t>
  </si>
  <si>
    <t>https://drive.google.com/open?id=1TXvmx3kPRualJipGzVWQW903L9N-2c3Y</t>
  </si>
  <si>
    <t>faltzrodrigo@gmail.com</t>
  </si>
  <si>
    <t>job 229 registros; education: 1482 registros;</t>
  </si>
  <si>
    <t>OHE: education
LE: job, marital, default, housing, loan, contact, poutcome, month</t>
  </si>
  <si>
    <t>X_train(36128, 47), X_test(9032, 47)</t>
  </si>
  <si>
    <t>RandomForestClassifier = 0.91
LogisticRegression = 0.89
KNeighborsClassifier(9) = 0.89
KNeighborsClassifier(3) = 0.88</t>
  </si>
  <si>
    <t>Na minha visão, não é um bom modelo, o modelo deixa passar mais da metade dos clientes propensos (606 de 1.057), o objetivo do estudo é ter mais sucesso na campanha, então deixando de ligar para esses clientes a empresa acaba não vendendo. Claro que a precisão está em 66%, ou seja, convertemos mais clientes para empresa do que ligamos, mas o número que deixamos de comunicar acabou impactando o resultado do estudo.</t>
  </si>
  <si>
    <t>1 caso, [0.72]</t>
  </si>
  <si>
    <t>O ARIMA conseguiu capturar a dinâmica de tendência e autocorrelação do nível do mar através da sua estrutura autoregressiva e de média móvel, mantendo os resíduos menores e mais estáveis no conjunto de teste. Já a Regressão Linear (lags=5), que foi o melhor de ML no teste (RMSE 0.4182), não consegue se adaptar tão bem a mudanças de tendência fora da amostra quanto o ARIMA.</t>
  </si>
  <si>
    <t>https://drive.google.com/open?id=1YF0KHQKX2JTtSYwEaGizoAiv0_V_WhX3</t>
  </si>
  <si>
    <t>https://drive.google.com/open?id=15VYv3ygmrj5O_9L5yXfy_zGyqG--NWl3</t>
  </si>
  <si>
    <t>X_train(36124, 35), X_test(9032, 35)</t>
  </si>
  <si>
    <t>LogisticRegression = 0.90 RandomForestClassifier = 0.90
KNeighborsClassifier(3) = 0.88
KNeighborsClassifier(9) = 0.89</t>
  </si>
  <si>
    <t>O Random Forest teve accuracy de 0,9044, acima do baseline de 0,8830, mostrando um bom desempenho geral. Porém, para identificar quem realmente assinaria, o recall foi de 0,3945, indicando que o modelo ainda deixou passar uma parte considerável desses clientes.</t>
  </si>
  <si>
    <t>2 casos, [0.57, 0.63]</t>
  </si>
  <si>
    <t>DecisionTreeRegressor_3_lags, RMSE=0.000</t>
  </si>
  <si>
    <t>ARIMA, RMSE=0.342</t>
  </si>
  <si>
    <t>O modelo ARIMA apresenta resíduos com menor dispersão que o modelo LinearRegression_10_lags, indicando menor erro nas previsões do conjunto de teste. Além disso, os resíduos do modelo de Aprendizado de Máquina apresentam média mais próxima de zero.</t>
  </si>
  <si>
    <t>https://drive.google.com/open?id=1rx324iblHxwHoLIIYRiC3McCYMnV-ckj</t>
  </si>
  <si>
    <t>https://drive.google.com/open?id=1GQPwmfox8ojJi8G86Lr3Jl8dfyVnP7Zy</t>
  </si>
  <si>
    <t>LogisticRegression = 0.90 RandomForestClassifier = 0.90
KNeighborsClassifier(3) = 0.89
KNeighborsClassifier(9) = 0.90</t>
  </si>
  <si>
    <t>O melhor modelo foi o RandomForest com 0.904 de score, esse modelo porém apresentou apenas 0.65 de precisão para a classe yes, com recall de 0,39 e F1 de 0,49. Pode-se concluir que o modelo consegue avaliar bem a classe no, mas em relação à outra classe, não consegue avaliar com precisão os clientes com objetivo de inscrição.</t>
  </si>
  <si>
    <t>1 caso, [0.42, 0.58]</t>
  </si>
  <si>
    <t>O melhor modelo o modelo ARIMA tiveram resíduos parecidos no treino e assimetria pequena (entre 0.135 e 0.137). Em ambos os casos a normalidade não foi rejeitada, com Shapiro de 0.84 e 0.82 respectivamente. Os dois modelos são capazes de estimar a estrutura da série, embora no teste o ARIMA seja capaz de errar menos fazendo mais previsões a frente.</t>
  </si>
  <si>
    <t>https://drive.google.com/open?id=1EAl5watknfb1r9oEefRJusNYBr7txmtH</t>
  </si>
  <si>
    <t>https://drive.google.com/open?id=15pr0xG4NT1bsTJ1jFw_D333hdhAwCbvB</t>
  </si>
  <si>
    <t>Identificados: Clientes com idade (age) menor que 18 anos ou maior que 100 anos, duração (duration) superior a 10.000 segundos e contatos anteriores (previous) superiores a 100.
Registros excluídos: 11 registros</t>
  </si>
  <si>
    <t>36.123, 9.031</t>
  </si>
  <si>
    <t>job: 230 nulos imputados.
education: 1.489 nulos imputados.
Nota: 105 registros não possuíam referência cruzada direta e foram imputados usando o valor mais frequente.</t>
  </si>
  <si>
    <t>Label Encode (Ordinais): education (mapeado para {'primary': 0, 'secondary': 1, 'tertiary': 2}).
One Hot Encode (Nominais): job, marital, default, housing, loan, contact e poutcome</t>
  </si>
  <si>
    <t>age, education, balance, duration, campaign, pdays, previous e last_contact.</t>
  </si>
  <si>
    <t>Treinamento: (36123, 28)
Teste: (9031, 28)</t>
  </si>
  <si>
    <t>Random Forest Classifier: 0.9031 (90,31%)
Regressão Logística (max_iter=200): 0.9002 (90,02%)
K-Vizinhos Próximos (k=9): 0.8953 (89,53%)
K-Vizinhos Próximos (k=3): 0.8869 (88,69%)</t>
  </si>
  <si>
    <t>O modelo apresenta uma acurácia global de 90,59% no teste, o que parece bom inicialmente se comparado ao modelo trivial de responder sempre 'não' (88,30%).
Entretanto, por causa do forte desbalanceamento de classes (apenas 11,7% de casos 'yes'), ele é apenas moderado para a finalidade de negócio: possui recall de apenas 40% para a classe 'yes' (deixa passar 631 de 1.057 clientes interessados) e uma precisão de 66% para as indicações positivas.</t>
  </si>
  <si>
    <t>Do total de 46 novos casos, 2 casos apresentam maior probabilidade de fazer a subscrição (yes &gt; no).
As probabilidades estimadas para cada um desses dois casos são:
Caso Índice 35: 64,0% de probabilidade para 'yes' (36,0% para 'no').
Caso Índice 38: 56,0% de probabilidade para 'yes' (44,0% para 'no').</t>
  </si>
  <si>
    <t>Decision Tree Regressor (lags = 5 ou 10): RMSE = 0.000000 (sobreajuste perfeito/decorou os dados de treino).</t>
  </si>
  <si>
    <t>ARIMA(2, 1, 1): RMSE = 0.417984.</t>
  </si>
  <si>
    <t>O melhor modelo de Aprendizado de Máquina no teste foi a Regressão Linear (5 lags) com RMSE de 0.418259, o qual é estatisticamente equivalente ao ARIMA(2,1,1) (RMSE de 0.417984).
Em ambos os modelos, os resíduos no conjunto de treino comportam-se como ruído branco: possuem média próxima a zero (0.0000 para a Regressão e 0.0725 para o ARIMA), variância constante (desvios de ~0.568 e ~0.571), distribuição aproximadamente normal e nenhuma autocorrelação temporal significativa (confirmado pelo teste de Ljung-Box com p-value &gt; 0.05).</t>
  </si>
  <si>
    <t>https://drive.google.com/open?id=1cLn352ORFwG3x9p84sbhvpdUdPtsJWfA</t>
  </si>
  <si>
    <t>https://drive.google.com/open?id=15XSoI8nUkbpyCSQWmjkK3MW1gI8HFbRq</t>
  </si>
  <si>
    <t>education, 1489; job, 230</t>
  </si>
  <si>
    <t>OHE: job, marital, default, housing, loan, contact, poutcome; LE: education</t>
  </si>
  <si>
    <t>LogisticRegression(max_iter=200) = 0.9001 RandomForestClassifier() = 0.9040 KNeighborsClassifier(k=3) = 0.8876 KNeighborsClassifier(k=9) = 0.8960</t>
  </si>
  <si>
    <t>O modelo Random Forest, que foi escolhido, é um ótimo modelo para eficiência operacional do call center, mas apresenta certas limitações pensando no lado do aumento de fronteira ou cobertura da empresa. As métricas que justificam é a precisão para classe "yes", de aproximadamente 65%, que significa que a cada 3 clientes contatados, 2 subscrevem ao produto; entretanto, o recall é de aproximadamente 40%, tornando o modelo bem conservador e ignora 60% clientes potenciais.
Além desses levantamentos, é possível verificar um overfitting do modelo aos dados de teste, indicando baixo viés, mas alta variância do modelo. Isso não necessariamente é algo ruim, somente que é possível que o modelo gere previsões não condizentes com a realidade em alguns casos de teste.</t>
  </si>
  <si>
    <t>1 caso, [ 0.66 ]</t>
  </si>
  <si>
    <t>DecisionTreeRegressor() com 3 lags, RMSE=0.0</t>
  </si>
  <si>
    <t>Teste: ARIMA, RMSE=0.418</t>
  </si>
  <si>
    <t>Comparando a Regressão Linear com o ARIMA, a primeira possui uma leve vantagem por apresentar resíduos centrados em zero e desvio padrão ligeiramente menor (0,56), enquanto a segunda apresentou um leve viés (média 0,07 e desvio 0,57). Em relação à independência, ambos os modelos eliminaram a autocorrelação dos dados, o que é confirmado pelas autocorrelações no lag 1 muito próximas de zero e pelos altos p-valores no teste de Ljung-Box (1,00 para a Regressão Linear e 0,81 para o ARIMA, aceitando a hipótese nula de ausência de autocorrelação). Por fim, o teste de Shapiro-Wilk confirma que os resíduos de ambos os modelos seguem uma distribuição normal (p-valores de 0,75 e 0,76, respectivamente), concluindo que os dois modelos são estatisticamente válidos e adequados para a previsão, com a Regressão Linear se saindo ligeiramente melhor.</t>
  </si>
  <si>
    <t>https://drive.google.com/open?id=17QW3x_LBStoG92HWd9tIsqdSPAfgXdcl</t>
  </si>
  <si>
    <t>https://drive.google.com/open?id=1_Ue965tajIS8_nDUKcPNtBPjnLzaOm1B</t>
  </si>
  <si>
    <t>VINICIUS GARCIA IMENDES DECHECHI</t>
  </si>
  <si>
    <t xml:space="preserve">age, duration, campaign, previous, 12 registros
</t>
  </si>
  <si>
    <t>36122, 9031</t>
  </si>
  <si>
    <t>job, 228; education, 1488</t>
  </si>
  <si>
    <t>X_train(36122, 28), X_test(9031, 28)</t>
  </si>
  <si>
    <t>RandomForestClassifier() = 0.90 LogisticRegression(max_iter=200) = 0.90 KNeighborsClassifier(9) = 0.90 KNeighborsClassifier(3) = 0.89</t>
  </si>
  <si>
    <t>O modelo escolhido (RandomForestClassifier) excelente acurácia global (0.91) e F1-score ponderado de 0.90. Porém, analisando o classification report, observa-se que ele é muito eficiente para prever a classe majoritária ('no', com precision de 0.93 e recall de 0.97). Para a classe de interesse ('yes'), o recall cai para 0.42. Isso significa que o modelo deixa de identificar uma boa parte dos potenciais clientes interessados, o que é um reflexo do desbalanceamento dos dados originais. É um modelo muito seguro e conservador nas chamadas, mas perde oportunidades.</t>
  </si>
  <si>
    <t>5 casos, [ 0.53, 0.53, 0.54, 0.53, 0.52 ]</t>
  </si>
  <si>
    <t>Decision Tree, RMSE=0.000</t>
  </si>
  <si>
    <t>O melhor modelo de Machine Learning no conjunto de teste foi a Regressão Linear com 10 lags (RMSE=0.424). O modelo ARIMA (1,1,1) performou melhor (RMSE=0.379). A Regressão Linear apresentou um bom balanço entre erro de treino (0.56) e teste (0.42), mas o modelo ARIMA se ajustou ainda melhor aos dados não vistos da série temporal de aquecimento global. Já os modelos baseados em Árvore de Decisão memorizaram completamente a base de treino (RMSE=0), mas os resíduos explodiram na base de teste, com RMSE chegando a quase 2.0, evidenciando que modelos baseados em árvores puras não são capazes de extrapolar tendências de crescimento contínuo típicas de séries temporais não estacionárias, ao contrário da Regressão e do ARIMA.</t>
  </si>
  <si>
    <t>https://drive.google.com/open?id=1elZVHkjKH6_vXeabs-06DwFUuZ6A_WXO</t>
  </si>
  <si>
    <t>https://drive.google.com/open?id=198-r6MfoTiTWUN1w81XdznerL2AmbA7i</t>
  </si>
  <si>
    <t>Nota Lab</t>
  </si>
  <si>
    <t>Nota Escrita</t>
  </si>
  <si>
    <t>Nota Ex1</t>
  </si>
  <si>
    <t>Nota Ex2</t>
  </si>
  <si>
    <t>Nota Exerc</t>
  </si>
  <si>
    <t>P3 Final</t>
  </si>
  <si>
    <t>NOME</t>
  </si>
  <si>
    <t>MF</t>
  </si>
  <si>
    <t>MP</t>
  </si>
  <si>
    <t>MT</t>
  </si>
  <si>
    <t>P1</t>
  </si>
  <si>
    <t>P2</t>
  </si>
  <si>
    <t>PS1</t>
  </si>
  <si>
    <t>P3</t>
  </si>
  <si>
    <t>P4</t>
  </si>
  <si>
    <t>T1</t>
  </si>
  <si>
    <t>T2</t>
  </si>
  <si>
    <t>T3</t>
  </si>
  <si>
    <t>T4</t>
  </si>
  <si>
    <t>T5</t>
  </si>
  <si>
    <t>T6</t>
  </si>
  <si>
    <t>Andre Solano Ferreira Rodrigues Maiolini</t>
  </si>
  <si>
    <t/>
  </si>
  <si>
    <t>Luis Gustavo Goncalves Machado</t>
  </si>
  <si>
    <t>Andre Freire Prino</t>
  </si>
  <si>
    <t>RODRIGO FERNANDES FALTZ</t>
  </si>
  <si>
    <t>Joao Vitor Marques Ferrenha Cerqueira</t>
  </si>
  <si>
    <t>Leonardo Tagliati da Silva</t>
  </si>
  <si>
    <t>Joao Paulo Bonagurio Ramirez</t>
  </si>
  <si>
    <t>Andre Renato Almeida Abreu</t>
  </si>
  <si>
    <t>Andre Felipe Silva Xavier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</si>
</sst>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0.0"/>
  </numFmts>
  <fonts count="19" x14ac:knownFonts="1">
    <font>
      <sz val="11"/>
      <color theme="1"/>
      <name val="Aptos Narrow"/>
      <family val="2"/>
      <scheme val="minor"/>
    </font>
    <font>
      <b/>
      <sz val="11"/>
      <color theme="1"/>
      <name val="Aptos Narrow"/>
      <family val="2"/>
      <scheme val="minor"/>
    </font>
    <font>
      <b/>
      <sz val="10"/>
      <color rgb="FFFFFFFF"/>
      <name val="Roboto"/>
    </font>
    <font>
      <sz val="10"/>
      <color theme="1"/>
      <name val="Arial"/>
      <family val="2"/>
    </font>
    <font>
      <sz val="10"/>
      <color rgb="FF434343"/>
      <name val="Roboto"/>
    </font>
    <font>
      <u/>
      <sz val="10"/>
      <color rgb="FF434343"/>
      <name val="Roboto"/>
    </font>
    <font>
      <u/>
      <sz val="11"/>
      <color theme="10"/>
      <name val="Aptos Narrow"/>
      <family val="2"/>
      <scheme val="minor"/>
    </font>
    <font>
      <b/>
      <sz val="10"/>
      <color rgb="FF434343"/>
      <name val="Roboto"/>
    </font>
    <font>
      <b/>
      <sz val="10"/>
      <color theme="1"/>
      <name val="Arial"/>
      <family val="2"/>
    </font>
    <font>
      <sz val="10"/>
      <color rgb="FFFF0000"/>
      <name val="Roboto"/>
    </font>
    <font>
      <sz val="10"/>
      <color rgb="FFFF0000"/>
      <name val="Arial"/>
      <family val="2"/>
    </font>
    <font>
      <b/>
      <sz val="10"/>
      <color rgb="FFFF0000"/>
      <name val="Arial"/>
      <family val="2"/>
    </font>
    <font>
      <b/>
      <sz val="10"/>
      <color theme="1"/>
      <name val="Roboto"/>
    </font>
    <font>
      <sz val="10"/>
      <color theme="1"/>
      <name val="Roboto"/>
    </font>
    <font>
      <b/>
      <sz val="10"/>
      <color rgb="FFFF0000"/>
      <name val="Roboto"/>
    </font>
    <font>
      <b/>
      <sz val="10"/>
      <color theme="2" tint="-0.249977111117893"/>
      <name val="Roboto"/>
    </font>
    <font>
      <sz val="10"/>
      <color theme="2" tint="-0.249977111117893"/>
      <name val="Roboto"/>
    </font>
    <font>
      <sz val="11"/>
      <color theme="2" tint="-0.249977111117893"/>
      <name val="Aptos Narrow"/>
      <family val="2"/>
      <scheme val="minor"/>
    </font>
    <font>
      <sz val="11"/>
      <color rgb="FFC00000"/>
      <name val="Aptos Narrow"/>
      <family val="2"/>
      <scheme val="minor"/>
    </font>
  </fonts>
  <fills count="5">
    <fill>
      <patternFill patternType="none"/>
    </fill>
    <fill>
      <patternFill patternType="gray125"/>
    </fill>
    <fill>
      <patternFill patternType="solid">
        <fgColor rgb="FF5B3F86"/>
        <bgColor indexed="64"/>
      </patternFill>
    </fill>
    <fill>
      <patternFill patternType="solid">
        <fgColor rgb="FFFFFFFF"/>
        <bgColor indexed="64"/>
      </patternFill>
    </fill>
    <fill>
      <patternFill patternType="solid">
        <fgColor rgb="FFF8F9FA"/>
        <bgColor indexed="64"/>
      </patternFill>
    </fill>
  </fills>
  <borders count="18">
    <border>
      <left/>
      <right/>
      <top/>
      <bottom/>
      <diagonal/>
    </border>
    <border>
      <left style="medium">
        <color rgb="FF442F65"/>
      </left>
      <right style="medium">
        <color rgb="FF5B3F86"/>
      </right>
      <top style="medium">
        <color rgb="FF442F65"/>
      </top>
      <bottom style="medium">
        <color rgb="FF442F65"/>
      </bottom>
      <diagonal/>
    </border>
    <border>
      <left style="medium">
        <color rgb="FFCCCCCC"/>
      </left>
      <right style="medium">
        <color rgb="FF5B3F86"/>
      </right>
      <top style="medium">
        <color rgb="FF442F65"/>
      </top>
      <bottom style="medium">
        <color rgb="FF442F65"/>
      </bottom>
      <diagonal/>
    </border>
    <border>
      <left style="medium">
        <color rgb="FFCCCCCC"/>
      </left>
      <right style="medium">
        <color rgb="FF442F65"/>
      </right>
      <top style="medium">
        <color rgb="FF442F65"/>
      </top>
      <bottom style="medium">
        <color rgb="FF442F65"/>
      </bottom>
      <diagonal/>
    </border>
    <border>
      <left style="medium">
        <color rgb="FFCCCCCC"/>
      </left>
      <right style="medium">
        <color rgb="FFCCCCCC"/>
      </right>
      <top style="medium">
        <color rgb="FFE8EAED"/>
      </top>
      <bottom style="medium">
        <color rgb="FFCCCCCC"/>
      </bottom>
      <diagonal/>
    </border>
    <border>
      <left style="medium">
        <color rgb="FF442F65"/>
      </left>
      <right style="medium">
        <color rgb="FFFFFFFF"/>
      </right>
      <top style="medium">
        <color rgb="FFCCCCCC"/>
      </top>
      <bottom style="medium">
        <color rgb="FFF8F9FA"/>
      </bottom>
      <diagonal/>
    </border>
    <border>
      <left style="medium">
        <color rgb="FFCCCCCC"/>
      </left>
      <right style="medium">
        <color rgb="FFFFFFFF"/>
      </right>
      <top style="medium">
        <color rgb="FFCCCCCC"/>
      </top>
      <bottom style="medium">
        <color rgb="FFF8F9FA"/>
      </bottom>
      <diagonal/>
    </border>
    <border>
      <left style="medium">
        <color rgb="FFCCCCCC"/>
      </left>
      <right style="medium">
        <color rgb="FF442F65"/>
      </right>
      <top style="medium">
        <color rgb="FFCCCCCC"/>
      </top>
      <bottom style="medium">
        <color rgb="FFF8F9FA"/>
      </bottom>
      <diagonal/>
    </border>
    <border>
      <left style="medium">
        <color rgb="FFCCCCCC"/>
      </left>
      <right style="medium">
        <color rgb="FFCCCCCC"/>
      </right>
      <top style="medium">
        <color rgb="FFCCCCCC"/>
      </top>
      <bottom style="medium">
        <color rgb="FFCCCCCC"/>
      </bottom>
      <diagonal/>
    </border>
    <border>
      <left style="medium">
        <color rgb="FF442F65"/>
      </left>
      <right style="medium">
        <color rgb="FFF8F9FA"/>
      </right>
      <top style="medium">
        <color rgb="FFCCCCCC"/>
      </top>
      <bottom style="medium">
        <color rgb="FFF8F9FA"/>
      </bottom>
      <diagonal/>
    </border>
    <border>
      <left style="medium">
        <color rgb="FFCCCCCC"/>
      </left>
      <right style="medium">
        <color rgb="FFF8F9FA"/>
      </right>
      <top style="medium">
        <color rgb="FFCCCCCC"/>
      </top>
      <bottom style="medium">
        <color rgb="FFF8F9FA"/>
      </bottom>
      <diagonal/>
    </border>
    <border>
      <left style="medium">
        <color rgb="FF442F65"/>
      </left>
      <right style="medium">
        <color rgb="FFF8F9FA"/>
      </right>
      <top style="medium">
        <color rgb="FFCCCCCC"/>
      </top>
      <bottom style="medium">
        <color rgb="FF442F65"/>
      </bottom>
      <diagonal/>
    </border>
    <border>
      <left style="medium">
        <color rgb="FFCCCCCC"/>
      </left>
      <right style="medium">
        <color rgb="FFF8F9FA"/>
      </right>
      <top style="medium">
        <color rgb="FFCCCCCC"/>
      </top>
      <bottom style="medium">
        <color rgb="FF442F65"/>
      </bottom>
      <diagonal/>
    </border>
    <border>
      <left style="medium">
        <color rgb="FFCCCCCC"/>
      </left>
      <right style="medium">
        <color rgb="FF442F65"/>
      </right>
      <top style="medium">
        <color rgb="FFCCCCCC"/>
      </top>
      <bottom style="medium">
        <color rgb="FF442F65"/>
      </bottom>
      <diagonal/>
    </border>
    <border>
      <left style="medium">
        <color rgb="FF442F65"/>
      </left>
      <right style="medium">
        <color rgb="FFFFFFFF"/>
      </right>
      <top style="medium">
        <color rgb="FFCCCCCC"/>
      </top>
      <bottom style="medium">
        <color rgb="FF442F65"/>
      </bottom>
      <diagonal/>
    </border>
    <border>
      <left style="medium">
        <color rgb="FFCCCCCC"/>
      </left>
      <right style="medium">
        <color rgb="FFFFFFFF"/>
      </right>
      <top style="medium">
        <color rgb="FFCCCCCC"/>
      </top>
      <bottom style="medium">
        <color rgb="FF442F65"/>
      </bottom>
      <diagonal/>
    </border>
    <border>
      <left style="medium">
        <color rgb="FFCCCCCC"/>
      </left>
      <right/>
      <top style="medium">
        <color rgb="FFCCCCCC"/>
      </top>
      <bottom style="medium">
        <color rgb="FFF8F9FA"/>
      </bottom>
      <diagonal/>
    </border>
    <border>
      <left style="medium">
        <color rgb="FFCCCCCC"/>
      </left>
      <right style="medium">
        <color rgb="FFCCCCCC"/>
      </right>
      <top style="medium">
        <color rgb="FFCCCCCC"/>
      </top>
      <bottom style="medium">
        <color indexed="64"/>
      </bottom>
      <diagonal/>
    </border>
  </borders>
  <cellStyleXfs count="2">
    <xf numFmtId="0" fontId="0" fillId="0" borderId="0"/>
    <xf numFmtId="0" fontId="6" fillId="0" borderId="0" applyNumberFormat="0" applyFill="0" applyBorder="0" applyAlignment="0" applyProtection="0"/>
  </cellStyleXfs>
  <cellXfs count="89">
    <xf numFmtId="0" fontId="0" fillId="0" borderId="0" xfId="0"/>
    <xf numFmtId="0" fontId="2" fillId="2" borderId="2" xfId="0" applyFont="1" applyFill="1" applyBorder="1" applyAlignment="1">
      <alignment vertical="center"/>
    </xf>
    <xf numFmtId="0" fontId="6" fillId="3" borderId="6" xfId="1" applyFill="1" applyBorder="1" applyAlignment="1">
      <alignment vertical="center"/>
    </xf>
    <xf numFmtId="0" fontId="6" fillId="4" borderId="10" xfId="1" applyFill="1" applyBorder="1" applyAlignment="1">
      <alignment vertical="center"/>
    </xf>
    <xf numFmtId="0" fontId="6" fillId="4" borderId="12" xfId="1" applyFill="1" applyBorder="1" applyAlignment="1">
      <alignment vertical="center"/>
    </xf>
    <xf numFmtId="0" fontId="3" fillId="0" borderId="8" xfId="0" applyFont="1" applyBorder="1" applyAlignment="1"/>
    <xf numFmtId="0" fontId="0" fillId="0" borderId="0" xfId="0" applyAlignment="1"/>
    <xf numFmtId="0" fontId="2" fillId="2" borderId="1" xfId="0" applyFont="1" applyFill="1" applyBorder="1" applyAlignment="1">
      <alignment vertical="center"/>
    </xf>
    <xf numFmtId="0" fontId="2" fillId="2" borderId="2" xfId="0" applyFont="1" applyFill="1" applyBorder="1" applyAlignment="1">
      <alignment horizontal="center" vertical="center"/>
    </xf>
    <xf numFmtId="0" fontId="2" fillId="2" borderId="3" xfId="0" applyFont="1" applyFill="1" applyBorder="1" applyAlignment="1">
      <alignment vertical="center"/>
    </xf>
    <xf numFmtId="0" fontId="3" fillId="0" borderId="4" xfId="0" applyFont="1" applyBorder="1" applyAlignment="1"/>
    <xf numFmtId="22" fontId="4" fillId="3" borderId="5" xfId="0" applyNumberFormat="1" applyFont="1" applyFill="1" applyBorder="1" applyAlignment="1">
      <alignment horizontal="right" vertical="center"/>
    </xf>
    <xf numFmtId="0" fontId="4" fillId="3" borderId="6" xfId="0" applyFont="1" applyFill="1" applyBorder="1" applyAlignment="1">
      <alignment vertical="center"/>
    </xf>
    <xf numFmtId="0" fontId="4" fillId="3" borderId="6" xfId="0" applyFont="1" applyFill="1" applyBorder="1" applyAlignment="1">
      <alignment horizontal="center" vertical="center"/>
    </xf>
    <xf numFmtId="0" fontId="4" fillId="3" borderId="6" xfId="0" applyFont="1" applyFill="1" applyBorder="1" applyAlignment="1">
      <alignment horizontal="right" vertical="center"/>
    </xf>
    <xf numFmtId="0" fontId="3" fillId="3" borderId="7" xfId="0" applyFont="1" applyFill="1" applyBorder="1" applyAlignment="1">
      <alignment vertical="center"/>
    </xf>
    <xf numFmtId="22" fontId="4" fillId="4" borderId="9" xfId="0" applyNumberFormat="1" applyFont="1" applyFill="1" applyBorder="1" applyAlignment="1">
      <alignment horizontal="right" vertical="center"/>
    </xf>
    <xf numFmtId="0" fontId="4" fillId="4" borderId="10" xfId="0" applyFont="1" applyFill="1" applyBorder="1" applyAlignment="1">
      <alignment vertical="center"/>
    </xf>
    <xf numFmtId="0" fontId="4" fillId="4" borderId="10" xfId="0" applyFont="1" applyFill="1" applyBorder="1" applyAlignment="1">
      <alignment horizontal="center" vertical="center"/>
    </xf>
    <xf numFmtId="3" fontId="4" fillId="4" borderId="10" xfId="0" applyNumberFormat="1" applyFont="1" applyFill="1" applyBorder="1" applyAlignment="1">
      <alignment horizontal="right" vertical="center"/>
    </xf>
    <xf numFmtId="0" fontId="4" fillId="4" borderId="10" xfId="0" applyFont="1" applyFill="1" applyBorder="1" applyAlignment="1">
      <alignment horizontal="right" vertical="center"/>
    </xf>
    <xf numFmtId="0" fontId="3" fillId="4" borderId="7" xfId="0" applyFont="1" applyFill="1" applyBorder="1" applyAlignment="1">
      <alignment vertical="center"/>
    </xf>
    <xf numFmtId="3" fontId="4" fillId="3" borderId="6" xfId="0" applyNumberFormat="1" applyFont="1" applyFill="1" applyBorder="1" applyAlignment="1">
      <alignment horizontal="right" vertical="center"/>
    </xf>
    <xf numFmtId="0" fontId="4" fillId="4" borderId="7" xfId="0" applyFont="1" applyFill="1" applyBorder="1" applyAlignment="1">
      <alignment vertical="center"/>
    </xf>
    <xf numFmtId="22" fontId="4" fillId="4" borderId="11" xfId="0" applyNumberFormat="1" applyFont="1" applyFill="1" applyBorder="1" applyAlignment="1">
      <alignment horizontal="right" vertical="center"/>
    </xf>
    <xf numFmtId="0" fontId="4" fillId="4" borderId="12" xfId="0" applyFont="1" applyFill="1" applyBorder="1" applyAlignment="1">
      <alignment vertical="center"/>
    </xf>
    <xf numFmtId="0" fontId="4" fillId="4" borderId="12" xfId="0" applyFont="1" applyFill="1" applyBorder="1" applyAlignment="1">
      <alignment horizontal="center" vertical="center"/>
    </xf>
    <xf numFmtId="3" fontId="4" fillId="4" borderId="12" xfId="0" applyNumberFormat="1" applyFont="1" applyFill="1" applyBorder="1" applyAlignment="1">
      <alignment horizontal="right" vertical="center"/>
    </xf>
    <xf numFmtId="0" fontId="4" fillId="4" borderId="12" xfId="0" applyFont="1" applyFill="1" applyBorder="1" applyAlignment="1">
      <alignment horizontal="right" vertical="center"/>
    </xf>
    <xf numFmtId="0" fontId="3" fillId="4" borderId="13" xfId="0" applyFont="1" applyFill="1" applyBorder="1" applyAlignment="1">
      <alignment vertical="center"/>
    </xf>
    <xf numFmtId="169" fontId="2" fillId="2" borderId="2" xfId="0" applyNumberFormat="1" applyFont="1" applyFill="1" applyBorder="1" applyAlignment="1">
      <alignment horizontal="center" vertical="center"/>
    </xf>
    <xf numFmtId="169" fontId="7" fillId="3" borderId="6" xfId="0" applyNumberFormat="1" applyFont="1" applyFill="1" applyBorder="1" applyAlignment="1">
      <alignment horizontal="center" vertical="center"/>
    </xf>
    <xf numFmtId="169" fontId="7" fillId="4" borderId="10" xfId="0" applyNumberFormat="1" applyFont="1" applyFill="1" applyBorder="1" applyAlignment="1">
      <alignment horizontal="center" vertical="center"/>
    </xf>
    <xf numFmtId="169" fontId="7" fillId="4" borderId="12" xfId="0" applyNumberFormat="1" applyFont="1" applyFill="1" applyBorder="1" applyAlignment="1">
      <alignment horizontal="center" vertical="center"/>
    </xf>
    <xf numFmtId="169" fontId="8" fillId="0" borderId="8" xfId="0" applyNumberFormat="1" applyFont="1" applyBorder="1" applyAlignment="1"/>
    <xf numFmtId="169" fontId="1" fillId="0" borderId="0" xfId="0" applyNumberFormat="1" applyFont="1" applyAlignment="1"/>
    <xf numFmtId="0" fontId="4" fillId="3" borderId="7" xfId="0" applyFont="1" applyFill="1" applyBorder="1" applyAlignment="1">
      <alignment vertical="center"/>
    </xf>
    <xf numFmtId="0" fontId="6" fillId="4" borderId="7" xfId="1" applyFill="1" applyBorder="1" applyAlignment="1">
      <alignment vertical="center"/>
    </xf>
    <xf numFmtId="22" fontId="4" fillId="3" borderId="14" xfId="0" applyNumberFormat="1" applyFont="1" applyFill="1" applyBorder="1" applyAlignment="1">
      <alignment horizontal="right" vertical="center"/>
    </xf>
    <xf numFmtId="0" fontId="4" fillId="3" borderId="15" xfId="0" applyFont="1" applyFill="1" applyBorder="1" applyAlignment="1">
      <alignment vertical="center"/>
    </xf>
    <xf numFmtId="0" fontId="4" fillId="3" borderId="15" xfId="0" applyFont="1" applyFill="1" applyBorder="1" applyAlignment="1">
      <alignment horizontal="center" vertical="center"/>
    </xf>
    <xf numFmtId="0" fontId="4" fillId="3" borderId="15" xfId="0" applyFont="1" applyFill="1" applyBorder="1" applyAlignment="1">
      <alignment horizontal="right" vertical="center"/>
    </xf>
    <xf numFmtId="0" fontId="3" fillId="3" borderId="13" xfId="0" applyFont="1" applyFill="1" applyBorder="1" applyAlignment="1">
      <alignment vertical="center"/>
    </xf>
    <xf numFmtId="0" fontId="0" fillId="0" borderId="0" xfId="0" applyFont="1"/>
    <xf numFmtId="0" fontId="7" fillId="3" borderId="6" xfId="0" applyFont="1" applyFill="1" applyBorder="1" applyAlignment="1">
      <alignment horizontal="center" vertical="center"/>
    </xf>
    <xf numFmtId="0" fontId="7" fillId="4" borderId="10" xfId="0" applyFont="1" applyFill="1" applyBorder="1" applyAlignment="1">
      <alignment horizontal="center" vertical="center"/>
    </xf>
    <xf numFmtId="0" fontId="7" fillId="3" borderId="15" xfId="0" applyFont="1" applyFill="1" applyBorder="1" applyAlignment="1">
      <alignment horizontal="center" vertical="center"/>
    </xf>
    <xf numFmtId="0" fontId="8" fillId="0" borderId="8" xfId="0" applyFont="1" applyBorder="1" applyAlignment="1"/>
    <xf numFmtId="0" fontId="1" fillId="0" borderId="0" xfId="0" applyFont="1"/>
    <xf numFmtId="0" fontId="3" fillId="3" borderId="5" xfId="0" applyFont="1" applyFill="1" applyBorder="1" applyAlignment="1">
      <alignment vertical="center"/>
    </xf>
    <xf numFmtId="0" fontId="9" fillId="3" borderId="6" xfId="0" applyFont="1" applyFill="1" applyBorder="1" applyAlignment="1">
      <alignment vertical="center"/>
    </xf>
    <xf numFmtId="0" fontId="3" fillId="3" borderId="6" xfId="0" applyFont="1" applyFill="1" applyBorder="1" applyAlignment="1">
      <alignment vertical="center"/>
    </xf>
    <xf numFmtId="0" fontId="9" fillId="3" borderId="6" xfId="0" applyFont="1" applyFill="1" applyBorder="1" applyAlignment="1">
      <alignment horizontal="center" vertical="center"/>
    </xf>
    <xf numFmtId="0" fontId="10" fillId="3" borderId="6" xfId="0" applyFont="1" applyFill="1" applyBorder="1" applyAlignment="1">
      <alignment vertical="center"/>
    </xf>
    <xf numFmtId="0" fontId="11" fillId="3" borderId="6" xfId="0" applyFont="1" applyFill="1" applyBorder="1" applyAlignment="1">
      <alignment vertical="center"/>
    </xf>
    <xf numFmtId="0" fontId="6" fillId="4" borderId="10" xfId="1" applyFill="1" applyBorder="1" applyAlignment="1">
      <alignment horizontal="center" vertical="center"/>
    </xf>
    <xf numFmtId="0" fontId="6" fillId="3" borderId="6" xfId="1" applyFill="1" applyBorder="1" applyAlignment="1">
      <alignment horizontal="center" vertical="center"/>
    </xf>
    <xf numFmtId="0" fontId="3" fillId="4" borderId="10" xfId="0" applyFont="1" applyFill="1" applyBorder="1" applyAlignment="1">
      <alignment vertical="center"/>
    </xf>
    <xf numFmtId="0" fontId="5" fillId="4" borderId="10" xfId="0" applyFont="1" applyFill="1" applyBorder="1" applyAlignment="1">
      <alignment horizontal="center" vertical="center"/>
    </xf>
    <xf numFmtId="0" fontId="6" fillId="4" borderId="12" xfId="1" applyFill="1" applyBorder="1" applyAlignment="1">
      <alignment horizontal="center" vertical="center"/>
    </xf>
    <xf numFmtId="0" fontId="13" fillId="3" borderId="6" xfId="0" applyFont="1" applyFill="1" applyBorder="1" applyAlignment="1">
      <alignment horizontal="center" vertical="center"/>
    </xf>
    <xf numFmtId="0" fontId="13" fillId="4" borderId="10" xfId="0" applyFont="1" applyFill="1" applyBorder="1" applyAlignment="1">
      <alignment horizontal="center" vertical="center"/>
    </xf>
    <xf numFmtId="0" fontId="13" fillId="4" borderId="12" xfId="0" applyFont="1" applyFill="1" applyBorder="1" applyAlignment="1">
      <alignment horizontal="center" vertical="center"/>
    </xf>
    <xf numFmtId="0" fontId="12" fillId="3" borderId="6" xfId="0" applyFont="1" applyFill="1" applyBorder="1" applyAlignment="1">
      <alignment horizontal="center" vertical="center"/>
    </xf>
    <xf numFmtId="0" fontId="12" fillId="4" borderId="10" xfId="0" applyFont="1" applyFill="1" applyBorder="1" applyAlignment="1">
      <alignment horizontal="center" vertical="center"/>
    </xf>
    <xf numFmtId="0" fontId="12" fillId="4" borderId="12" xfId="0" applyFont="1" applyFill="1" applyBorder="1" applyAlignment="1">
      <alignment horizontal="center" vertical="center"/>
    </xf>
    <xf numFmtId="0" fontId="4" fillId="3" borderId="16" xfId="0" applyFont="1" applyFill="1" applyBorder="1" applyAlignment="1">
      <alignment vertical="center"/>
    </xf>
    <xf numFmtId="169" fontId="14" fillId="4" borderId="16" xfId="0" applyNumberFormat="1" applyFont="1" applyFill="1" applyBorder="1" applyAlignment="1">
      <alignment horizontal="center" vertical="center"/>
    </xf>
    <xf numFmtId="169" fontId="15" fillId="2" borderId="2" xfId="0" applyNumberFormat="1" applyFont="1" applyFill="1" applyBorder="1" applyAlignment="1">
      <alignment horizontal="center" vertical="center"/>
    </xf>
    <xf numFmtId="0" fontId="15" fillId="2" borderId="2" xfId="0" applyFont="1" applyFill="1" applyBorder="1" applyAlignment="1">
      <alignment vertical="center"/>
    </xf>
    <xf numFmtId="0" fontId="15" fillId="2" borderId="2" xfId="0" applyFont="1" applyFill="1" applyBorder="1" applyAlignment="1">
      <alignment horizontal="center" vertical="center"/>
    </xf>
    <xf numFmtId="169" fontId="15" fillId="3" borderId="6" xfId="0" applyNumberFormat="1" applyFont="1" applyFill="1" applyBorder="1" applyAlignment="1">
      <alignment horizontal="center" vertical="center"/>
    </xf>
    <xf numFmtId="0" fontId="16" fillId="3" borderId="6" xfId="0" applyFont="1" applyFill="1" applyBorder="1" applyAlignment="1">
      <alignment vertical="center"/>
    </xf>
    <xf numFmtId="0" fontId="15" fillId="3" borderId="6" xfId="0" applyFont="1" applyFill="1" applyBorder="1" applyAlignment="1">
      <alignment horizontal="center" vertical="center"/>
    </xf>
    <xf numFmtId="169" fontId="15" fillId="4" borderId="10" xfId="0" applyNumberFormat="1" applyFont="1" applyFill="1" applyBorder="1" applyAlignment="1">
      <alignment horizontal="center" vertical="center"/>
    </xf>
    <xf numFmtId="0" fontId="16" fillId="4" borderId="10" xfId="0" applyFont="1" applyFill="1" applyBorder="1" applyAlignment="1">
      <alignment vertical="center"/>
    </xf>
    <xf numFmtId="0" fontId="15" fillId="4" borderId="10" xfId="0" applyFont="1" applyFill="1" applyBorder="1" applyAlignment="1">
      <alignment horizontal="center" vertical="center"/>
    </xf>
    <xf numFmtId="169" fontId="15" fillId="4" borderId="16" xfId="0" applyNumberFormat="1" applyFont="1" applyFill="1" applyBorder="1" applyAlignment="1">
      <alignment horizontal="center" vertical="center"/>
    </xf>
    <xf numFmtId="169" fontId="15" fillId="4" borderId="12" xfId="0" applyNumberFormat="1" applyFont="1" applyFill="1" applyBorder="1" applyAlignment="1">
      <alignment horizontal="center" vertical="center"/>
    </xf>
    <xf numFmtId="0" fontId="16" fillId="3" borderId="15" xfId="0" applyFont="1" applyFill="1" applyBorder="1" applyAlignment="1">
      <alignment vertical="center"/>
    </xf>
    <xf numFmtId="0" fontId="15" fillId="3" borderId="15" xfId="0" applyFont="1" applyFill="1" applyBorder="1" applyAlignment="1">
      <alignment horizontal="center" vertical="center"/>
    </xf>
    <xf numFmtId="0" fontId="17" fillId="0" borderId="0" xfId="0" applyFont="1"/>
    <xf numFmtId="169" fontId="7" fillId="3" borderId="15" xfId="0" applyNumberFormat="1" applyFont="1" applyFill="1" applyBorder="1" applyAlignment="1">
      <alignment horizontal="center" vertical="center"/>
    </xf>
    <xf numFmtId="169" fontId="0" fillId="0" borderId="0" xfId="0" applyNumberFormat="1"/>
    <xf numFmtId="0" fontId="0" fillId="0" borderId="0" xfId="0" applyAlignment="1">
      <alignment horizontal="center"/>
    </xf>
    <xf numFmtId="169" fontId="7" fillId="3" borderId="17" xfId="0" applyNumberFormat="1" applyFont="1" applyFill="1" applyBorder="1" applyAlignment="1">
      <alignment horizontal="center" vertical="center"/>
    </xf>
    <xf numFmtId="169" fontId="1" fillId="0" borderId="0" xfId="0" applyNumberFormat="1" applyFont="1" applyAlignment="1">
      <alignment horizontal="center"/>
    </xf>
    <xf numFmtId="169" fontId="0" fillId="0" borderId="0" xfId="0" applyNumberFormat="1" applyAlignment="1">
      <alignment horizontal="center"/>
    </xf>
    <xf numFmtId="169" fontId="18" fillId="0" borderId="0" xfId="0" applyNumberFormat="1" applyFon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drive.google.com/open?id=1muvHSYTaCkdmCFOSucitmsxclVwvK5m4" TargetMode="External"/><Relationship Id="rId21" Type="http://schemas.openxmlformats.org/officeDocument/2006/relationships/hyperlink" Target="https://drive.google.com/open?id=1CvDYe0drfc_HcgWsSQ9ZoaNqpdadLJLH" TargetMode="External"/><Relationship Id="rId42" Type="http://schemas.openxmlformats.org/officeDocument/2006/relationships/hyperlink" Target="https://drive.google.com/open?id=1lmC3c1RRWJfoDX3zlSdQN-Z-vtQbahND" TargetMode="External"/><Relationship Id="rId47" Type="http://schemas.openxmlformats.org/officeDocument/2006/relationships/hyperlink" Target="https://drive.google.com/open?id=1qsks7WCLCP0KJzcQ9MIabL3xjf8aI4eD" TargetMode="External"/><Relationship Id="rId63" Type="http://schemas.openxmlformats.org/officeDocument/2006/relationships/hyperlink" Target="https://drive.google.com/open?id=1PpGSRhNde60TSZ3_zUHIwTIMkgXqk3Mp" TargetMode="External"/><Relationship Id="rId68" Type="http://schemas.openxmlformats.org/officeDocument/2006/relationships/hyperlink" Target="https://drive.google.com/open?id=1RBLOsBthewBksPzGDxjBkmlIj0T_sc_C" TargetMode="External"/><Relationship Id="rId7" Type="http://schemas.openxmlformats.org/officeDocument/2006/relationships/hyperlink" Target="https://drive.google.com/open?id=1FwIPCNTLmERMJY0hwWISjIkxDH5Dzulo" TargetMode="External"/><Relationship Id="rId71" Type="http://schemas.openxmlformats.org/officeDocument/2006/relationships/hyperlink" Target="https://drive.google.com/open?id=1FmbXTArCSNh_01p4W8MAHP5tnAX_RZNG" TargetMode="External"/><Relationship Id="rId2" Type="http://schemas.openxmlformats.org/officeDocument/2006/relationships/hyperlink" Target="https://drive.google.com/open?id=1BqHJ44U7nyJuCY7VVKXXSVBX4GJFeOBG" TargetMode="External"/><Relationship Id="rId16" Type="http://schemas.openxmlformats.org/officeDocument/2006/relationships/hyperlink" Target="https://drive.google.com/open?id=1yUeBoYKr9-68q5hkdTGJtWFxsjU3RbF1" TargetMode="External"/><Relationship Id="rId29" Type="http://schemas.openxmlformats.org/officeDocument/2006/relationships/hyperlink" Target="https://drive.google.com/open?id=1adGt12Iu11MK0yPSIV1QbC_ERHYJWQKu" TargetMode="External"/><Relationship Id="rId11" Type="http://schemas.openxmlformats.org/officeDocument/2006/relationships/hyperlink" Target="https://drive.google.com/open?id=1kP86X9O1ppSjezUOT7tUF7mPFF-MdhOr" TargetMode="External"/><Relationship Id="rId24" Type="http://schemas.openxmlformats.org/officeDocument/2006/relationships/hyperlink" Target="https://drive.google.com/open?id=1fYE4AC82eebG2fJLVNyfQ31Ew5NPBpSy" TargetMode="External"/><Relationship Id="rId32" Type="http://schemas.openxmlformats.org/officeDocument/2006/relationships/hyperlink" Target="https://drive.google.com/open?id=1b36FUhznUXciE9MWZyyqBDKcU2qAtE66" TargetMode="External"/><Relationship Id="rId37" Type="http://schemas.openxmlformats.org/officeDocument/2006/relationships/hyperlink" Target="https://drive.google.com/open?id=1nzs-CP1xvAmWk_7Gn0RUvR6TBw0mQaQ4" TargetMode="External"/><Relationship Id="rId40" Type="http://schemas.openxmlformats.org/officeDocument/2006/relationships/hyperlink" Target="https://drive.google.com/open?id=117e0c5fh0RotieuOYTv1skgLd8aAr2As" TargetMode="External"/><Relationship Id="rId45" Type="http://schemas.openxmlformats.org/officeDocument/2006/relationships/hyperlink" Target="https://drive.google.com/open?id=1n6gdN_W6jNDQNOq8qX_LDKNW77WIiH0d" TargetMode="External"/><Relationship Id="rId53" Type="http://schemas.openxmlformats.org/officeDocument/2006/relationships/hyperlink" Target="https://drive.google.com/open?id=1zwrOjmzM1dn446-2Zk2MfrHUxoxY57Kv" TargetMode="External"/><Relationship Id="rId58" Type="http://schemas.openxmlformats.org/officeDocument/2006/relationships/hyperlink" Target="https://drive.google.com/open?id=17_H-ciMh8iOY2J8LtZb0kV_7itD2LNkW" TargetMode="External"/><Relationship Id="rId66" Type="http://schemas.openxmlformats.org/officeDocument/2006/relationships/hyperlink" Target="https://drive.google.com/open?id=18A603ZfIszHu0VqG3SIJewzKFnxGAlqz" TargetMode="External"/><Relationship Id="rId5" Type="http://schemas.openxmlformats.org/officeDocument/2006/relationships/hyperlink" Target="https://drive.google.com/open?id=1Wh4SP3UYqZWpB4XLvYuhh1_HyFFgFxqZ" TargetMode="External"/><Relationship Id="rId61" Type="http://schemas.openxmlformats.org/officeDocument/2006/relationships/hyperlink" Target="https://drive.google.com/open?id=1LRU_xEF8XtirXRkF1uf2_CugxTABehyE" TargetMode="External"/><Relationship Id="rId19" Type="http://schemas.openxmlformats.org/officeDocument/2006/relationships/hyperlink" Target="https://drive.google.com/open?id=1ljR079HeC3wRSVXRSdhLBq2oYeNF3yJf" TargetMode="External"/><Relationship Id="rId14" Type="http://schemas.openxmlformats.org/officeDocument/2006/relationships/hyperlink" Target="https://drive.google.com/open?id=1I1T66PCXn_ur0E9TN4Ku66CK17FTOAjv" TargetMode="External"/><Relationship Id="rId22" Type="http://schemas.openxmlformats.org/officeDocument/2006/relationships/hyperlink" Target="https://drive.google.com/open?id=1MdPas8jZ2QOcfoDqffw8iZTO6Jd5bPDU" TargetMode="External"/><Relationship Id="rId27" Type="http://schemas.openxmlformats.org/officeDocument/2006/relationships/hyperlink" Target="https://drive.google.com/open?id=1A0xntBbPgsksQu4HUgt9s2LWhLBrHzR2" TargetMode="External"/><Relationship Id="rId30" Type="http://schemas.openxmlformats.org/officeDocument/2006/relationships/hyperlink" Target="https://drive.google.com/open?id=1zvn8ndrSi37pH2EAbuFMVcSjR6jY0R4A" TargetMode="External"/><Relationship Id="rId35" Type="http://schemas.openxmlformats.org/officeDocument/2006/relationships/hyperlink" Target="https://drive.google.com/open?id=1wy8S7SdW3-Hq-ENH5oo7dAh8cyuMybJ8" TargetMode="External"/><Relationship Id="rId43" Type="http://schemas.openxmlformats.org/officeDocument/2006/relationships/hyperlink" Target="https://drive.google.com/open?id=1F8znNQtF9kMTpEShcdF-dmJ3PnHTMGHI" TargetMode="External"/><Relationship Id="rId48" Type="http://schemas.openxmlformats.org/officeDocument/2006/relationships/hyperlink" Target="https://drive.google.com/open?id=1R0gSN8jkVjWbbV-gEymgOJDzUthfX7Ve" TargetMode="External"/><Relationship Id="rId56" Type="http://schemas.openxmlformats.org/officeDocument/2006/relationships/hyperlink" Target="https://drive.google.com/open?id=1-SCD-Mwuu6GB8HJkZA-PKYIAKeGCurx4" TargetMode="External"/><Relationship Id="rId64" Type="http://schemas.openxmlformats.org/officeDocument/2006/relationships/hyperlink" Target="https://drive.google.com/open?id=1d6Y7NruTiJesAV7qZHwJdZhanB6CaoOr" TargetMode="External"/><Relationship Id="rId69" Type="http://schemas.openxmlformats.org/officeDocument/2006/relationships/hyperlink" Target="https://drive.google.com/open?id=10ya2YOZ2MFeFZAeFA7KRbCeYq71gy0Dc" TargetMode="External"/><Relationship Id="rId8" Type="http://schemas.openxmlformats.org/officeDocument/2006/relationships/hyperlink" Target="https://drive.google.com/open?id=1yTDOhiTOvVhZj1g1cYBXnTQrgJveN2OJ" TargetMode="External"/><Relationship Id="rId51" Type="http://schemas.openxmlformats.org/officeDocument/2006/relationships/hyperlink" Target="https://drive.google.com/open?id=1HYVAv-ljyguItH3izhqHA9fuDsGMwE0_" TargetMode="External"/><Relationship Id="rId72" Type="http://schemas.openxmlformats.org/officeDocument/2006/relationships/hyperlink" Target="https://drive.google.com/open?id=15Wp803tUtsX_I5f6sErFixj2yBoilV8Y" TargetMode="External"/><Relationship Id="rId3" Type="http://schemas.openxmlformats.org/officeDocument/2006/relationships/hyperlink" Target="https://drive.google.com/open?id=1PgGcukBmSt3qw1UY4LxgDGV_xqqPNcBP" TargetMode="External"/><Relationship Id="rId12" Type="http://schemas.openxmlformats.org/officeDocument/2006/relationships/hyperlink" Target="https://drive.google.com/open?id=1qDBcOA6pHF2IjaDMWhDB_jqWHQyKf9Sx" TargetMode="External"/><Relationship Id="rId17" Type="http://schemas.openxmlformats.org/officeDocument/2006/relationships/hyperlink" Target="https://drive.google.com/open?id=1Oih7exJ1muTq_-d8mlcypWBhwxAIaYAM" TargetMode="External"/><Relationship Id="rId25" Type="http://schemas.openxmlformats.org/officeDocument/2006/relationships/hyperlink" Target="https://drive.google.com/open?id=1mT08iGmGzJF3MIdujAs10evItzHTlKG8" TargetMode="External"/><Relationship Id="rId33" Type="http://schemas.openxmlformats.org/officeDocument/2006/relationships/hyperlink" Target="https://drive.google.com/open?id=1JZLi4SxCoCvDTyo__xA1ksLdh5twfNJD" TargetMode="External"/><Relationship Id="rId38" Type="http://schemas.openxmlformats.org/officeDocument/2006/relationships/hyperlink" Target="https://drive.google.com/open?id=1eC7fTb8pZZw57JucqKFMeiR2YHjIvAV6" TargetMode="External"/><Relationship Id="rId46" Type="http://schemas.openxmlformats.org/officeDocument/2006/relationships/hyperlink" Target="https://drive.google.com/open?id=1mHLB9WEE8Genl7_yS3uwkRocBzrzj1nR" TargetMode="External"/><Relationship Id="rId59" Type="http://schemas.openxmlformats.org/officeDocument/2006/relationships/hyperlink" Target="https://drive.google.com/open?id=1-fXU6kGQGfgoibxFkjsp5fEYLd0Aj1R_" TargetMode="External"/><Relationship Id="rId67" Type="http://schemas.openxmlformats.org/officeDocument/2006/relationships/hyperlink" Target="https://drive.google.com/open?id=1vdyy3bCtO249bqR708dqM2Tqae93znFZ" TargetMode="External"/><Relationship Id="rId20" Type="http://schemas.openxmlformats.org/officeDocument/2006/relationships/hyperlink" Target="https://drive.google.com/open?id=1psqgWJ7rr6HvLKbLvw4MEsvlTUER5v1O" TargetMode="External"/><Relationship Id="rId41" Type="http://schemas.openxmlformats.org/officeDocument/2006/relationships/hyperlink" Target="https://drive.google.com/open?id=1FNc-DWaaTbTw0Wf8rA8s1b2XduKvxVLg" TargetMode="External"/><Relationship Id="rId54" Type="http://schemas.openxmlformats.org/officeDocument/2006/relationships/hyperlink" Target="https://drive.google.com/open?id=1ljRFifhBZhr_wjjnorr2d6Y_lcfKZWpK" TargetMode="External"/><Relationship Id="rId62" Type="http://schemas.openxmlformats.org/officeDocument/2006/relationships/hyperlink" Target="https://drive.google.com/open?id=1gk5plEO7b9um1Ds8Gj270Tyd7y2bYxzR" TargetMode="External"/><Relationship Id="rId70" Type="http://schemas.openxmlformats.org/officeDocument/2006/relationships/hyperlink" Target="https://drive.google.com/open?id=1NQuGpOx781SNXrmVPzNls_CT94T02MEV" TargetMode="External"/><Relationship Id="rId1" Type="http://schemas.openxmlformats.org/officeDocument/2006/relationships/hyperlink" Target="https://drive.google.com/open?id=1585he2L47Q597ZLbD89-cIvj82wOx6tg" TargetMode="External"/><Relationship Id="rId6" Type="http://schemas.openxmlformats.org/officeDocument/2006/relationships/hyperlink" Target="https://drive.google.com/open?id=1eYS4XviWpjCtCxiEECz8MTkjbNZEEAIO" TargetMode="External"/><Relationship Id="rId15" Type="http://schemas.openxmlformats.org/officeDocument/2006/relationships/hyperlink" Target="https://drive.google.com/open?id=11eVI4Gay7dGhpjhoamo3n5aYyB1YTgg-" TargetMode="External"/><Relationship Id="rId23" Type="http://schemas.openxmlformats.org/officeDocument/2006/relationships/hyperlink" Target="https://drive.google.com/open?id=1kEiUE3O_Nk8s7HlQrt9rEF61edqiAjGg" TargetMode="External"/><Relationship Id="rId28" Type="http://schemas.openxmlformats.org/officeDocument/2006/relationships/hyperlink" Target="https://drive.google.com/open?id=1cHp0A_KtOnRy3tucszD_alw1MQkITCV0" TargetMode="External"/><Relationship Id="rId36" Type="http://schemas.openxmlformats.org/officeDocument/2006/relationships/hyperlink" Target="https://drive.google.com/open?id=1gOFzkPMhpuXhymTSY3_JNNPhG6MZZATR" TargetMode="External"/><Relationship Id="rId49" Type="http://schemas.openxmlformats.org/officeDocument/2006/relationships/hyperlink" Target="https://drive.google.com/open?id=11_VmY_zC0yRGsAxypXNjuekNFaM1HMwS" TargetMode="External"/><Relationship Id="rId57" Type="http://schemas.openxmlformats.org/officeDocument/2006/relationships/hyperlink" Target="https://drive.google.com/open?id=1_UjE7iZiY20JYRonrcpPPK9hR3X8T-4v" TargetMode="External"/><Relationship Id="rId10" Type="http://schemas.openxmlformats.org/officeDocument/2006/relationships/hyperlink" Target="https://drive.google.com/open?id=1wPrBuUfK5aT9AI3nFXTkcorrDO3MOQc9" TargetMode="External"/><Relationship Id="rId31" Type="http://schemas.openxmlformats.org/officeDocument/2006/relationships/hyperlink" Target="https://drive.google.com/open?id=11ThOqmMFRZtpnxxIL5kVPEBOFsH0Tv5Q" TargetMode="External"/><Relationship Id="rId44" Type="http://schemas.openxmlformats.org/officeDocument/2006/relationships/hyperlink" Target="https://drive.google.com/open?id=1LZ0_mYbEH8W8ZHqR__HomJ2BYfC0k51x" TargetMode="External"/><Relationship Id="rId52" Type="http://schemas.openxmlformats.org/officeDocument/2006/relationships/hyperlink" Target="https://drive.google.com/open?id=1dH1YAqM5x8VcVjgNZGwB45vVd88nDJpL" TargetMode="External"/><Relationship Id="rId60" Type="http://schemas.openxmlformats.org/officeDocument/2006/relationships/hyperlink" Target="https://drive.google.com/open?id=16Yy2xDADhwLtJ5qcTSPeazMomfS6Tgw6" TargetMode="External"/><Relationship Id="rId65" Type="http://schemas.openxmlformats.org/officeDocument/2006/relationships/hyperlink" Target="https://drive.google.com/open?id=1m8pL4YOrSvCp-Ex10HnR2EViSZaU0XhU" TargetMode="External"/><Relationship Id="rId4" Type="http://schemas.openxmlformats.org/officeDocument/2006/relationships/hyperlink" Target="https://drive.google.com/open?id=1kHKfguzw_03fEGdDpYug8lkMsxExnn9o" TargetMode="External"/><Relationship Id="rId9" Type="http://schemas.openxmlformats.org/officeDocument/2006/relationships/hyperlink" Target="https://drive.google.com/open?id=1uouqwFdDOaPfheRQtTLxHpBgDaD0g7kd" TargetMode="External"/><Relationship Id="rId13" Type="http://schemas.openxmlformats.org/officeDocument/2006/relationships/hyperlink" Target="https://drive.google.com/open?id=1TUMGUzG5EHEIqWRS6jXMpB0cXmIlRKyh" TargetMode="External"/><Relationship Id="rId18" Type="http://schemas.openxmlformats.org/officeDocument/2006/relationships/hyperlink" Target="https://drive.google.com/open?id=1lTO7FD14lAZoJRJsLDgLvHdI2m-V403Y" TargetMode="External"/><Relationship Id="rId39" Type="http://schemas.openxmlformats.org/officeDocument/2006/relationships/hyperlink" Target="https://drive.google.com/open?id=1sCG50-k14SISSw9xKcOt8xi3tj02ceLj" TargetMode="External"/><Relationship Id="rId34" Type="http://schemas.openxmlformats.org/officeDocument/2006/relationships/hyperlink" Target="https://drive.google.com/open?id=1aUp7-MHId3oDyirXz1u7knuJ53WApDfr" TargetMode="External"/><Relationship Id="rId50" Type="http://schemas.openxmlformats.org/officeDocument/2006/relationships/hyperlink" Target="https://drive.google.com/open?id=1dV7hozA_5HJj1zG-acB4SfFa24qQsLSl" TargetMode="External"/><Relationship Id="rId55" Type="http://schemas.openxmlformats.org/officeDocument/2006/relationships/hyperlink" Target="https://drive.google.com/open?id=1vbxQN_yHMAZuYjYifxbjjcmt0hhAZyKO"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colab.research.google.com/drive/1wDgM7MagyIQ8BpSwz63PnbAqGRTkKZdE" TargetMode="External"/><Relationship Id="rId2" Type="http://schemas.openxmlformats.org/officeDocument/2006/relationships/hyperlink" Target="https://colab.research.google.com/drive/195O_04HjwppBc8yL-gxCTo5gNZGdqN85?usp=sharing" TargetMode="External"/><Relationship Id="rId1" Type="http://schemas.openxmlformats.org/officeDocument/2006/relationships/hyperlink" Target="https://colab.research.google.com/drive/1OmrzXBYIlDHuV_qY-asyfV7UYECSCFuB?usp=sharing"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drive.google.com/open?id=1ORt7vmJHGP750LijaePJH1PwYfLrH_aJ" TargetMode="External"/><Relationship Id="rId21" Type="http://schemas.openxmlformats.org/officeDocument/2006/relationships/hyperlink" Target="https://drive.google.com/open?id=1bawLBPi_ZOyY8qLyabR82DDcnKffgd-Y" TargetMode="External"/><Relationship Id="rId42" Type="http://schemas.openxmlformats.org/officeDocument/2006/relationships/hyperlink" Target="https://drive.google.com/open?id=11LqEcr7WK37BKsvhOT84bOQ2gQrypAWw" TargetMode="External"/><Relationship Id="rId47" Type="http://schemas.openxmlformats.org/officeDocument/2006/relationships/hyperlink" Target="https://drive.google.com/open?id=1dpCqldGXXp1lXwEeHj1rNw0OjIBTn9HT" TargetMode="External"/><Relationship Id="rId63" Type="http://schemas.openxmlformats.org/officeDocument/2006/relationships/hyperlink" Target="https://drive.google.com/open?id=1YF0KHQKX2JTtSYwEaGizoAiv0_V_WhX3" TargetMode="External"/><Relationship Id="rId68" Type="http://schemas.openxmlformats.org/officeDocument/2006/relationships/hyperlink" Target="https://drive.google.com/open?id=15pr0xG4NT1bsTJ1jFw_D333hdhAwCbvB" TargetMode="External"/><Relationship Id="rId2" Type="http://schemas.openxmlformats.org/officeDocument/2006/relationships/hyperlink" Target="https://drive.google.com/open?id=1wXeXaDylIrXs6jlYPnf1Juj39ratPEzg" TargetMode="External"/><Relationship Id="rId16" Type="http://schemas.openxmlformats.org/officeDocument/2006/relationships/hyperlink" Target="https://drive.google.com/open?id=1GMDR72aikDcsKCTDS28_pO_A2pYXcIrm" TargetMode="External"/><Relationship Id="rId29" Type="http://schemas.openxmlformats.org/officeDocument/2006/relationships/hyperlink" Target="https://drive.google.com/open?id=1O4EtTvymqSzps52MZXEgjDbMOwUfUvNy" TargetMode="External"/><Relationship Id="rId11" Type="http://schemas.openxmlformats.org/officeDocument/2006/relationships/hyperlink" Target="https://drive.google.com/open?id=1ScD2ZY7kKwYXzDu9IiDlvtzKeD7HvE37" TargetMode="External"/><Relationship Id="rId24" Type="http://schemas.openxmlformats.org/officeDocument/2006/relationships/hyperlink" Target="https://drive.google.com/open?id=1HMvB2zOGFFMrFpXE3MBbwuIQTf5cqyqC" TargetMode="External"/><Relationship Id="rId32" Type="http://schemas.openxmlformats.org/officeDocument/2006/relationships/hyperlink" Target="https://drive.google.com/open?id=1iB0-d_wojv7V9QxadoQLe8I43ndtr2ak" TargetMode="External"/><Relationship Id="rId37" Type="http://schemas.openxmlformats.org/officeDocument/2006/relationships/hyperlink" Target="https://drive.google.com/open?id=1mokhYP_QsQn5NALyQ20tz61dcw458Kf8" TargetMode="External"/><Relationship Id="rId40" Type="http://schemas.openxmlformats.org/officeDocument/2006/relationships/hyperlink" Target="https://drive.google.com/open?id=1Bbun0h8YJxijG8GZnNThzRIKPN5USIrV" TargetMode="External"/><Relationship Id="rId45" Type="http://schemas.openxmlformats.org/officeDocument/2006/relationships/hyperlink" Target="https://drive.google.com/open?id=19w3fqSLkyZZmuzjpm3IJmmVr3OyyL9-5" TargetMode="External"/><Relationship Id="rId53" Type="http://schemas.openxmlformats.org/officeDocument/2006/relationships/hyperlink" Target="https://drive.google.com/open?id=1PQsYWOPRdIALY5HddbSKKMTV5FhbXPJT" TargetMode="External"/><Relationship Id="rId58" Type="http://schemas.openxmlformats.org/officeDocument/2006/relationships/hyperlink" Target="https://drive.google.com/open?id=12hCTSxa8VVJgVj7-6rlE3WadRApxKnIg" TargetMode="External"/><Relationship Id="rId66" Type="http://schemas.openxmlformats.org/officeDocument/2006/relationships/hyperlink" Target="https://drive.google.com/open?id=1GQPwmfox8ojJi8G86Lr3Jl8dfyVnP7Zy" TargetMode="External"/><Relationship Id="rId74" Type="http://schemas.openxmlformats.org/officeDocument/2006/relationships/hyperlink" Target="https://drive.google.com/open?id=198-r6MfoTiTWUN1w81XdznerL2AmbA7i" TargetMode="External"/><Relationship Id="rId5" Type="http://schemas.openxmlformats.org/officeDocument/2006/relationships/hyperlink" Target="https://drive.google.com/open?id=1YkEze31U2y8pbi43K5Ur735eZ6YtfCk8" TargetMode="External"/><Relationship Id="rId61" Type="http://schemas.openxmlformats.org/officeDocument/2006/relationships/hyperlink" Target="https://drive.google.com/open?id=1vPu3fhMv3RQtxGOB9uusbAVSfSFZfgHg" TargetMode="External"/><Relationship Id="rId19" Type="http://schemas.openxmlformats.org/officeDocument/2006/relationships/hyperlink" Target="https://drive.google.com/open?id=1brqU2jpZKACWrBwg8kCHPnJGfZo35XEE" TargetMode="External"/><Relationship Id="rId14" Type="http://schemas.openxmlformats.org/officeDocument/2006/relationships/hyperlink" Target="https://drive.google.com/open?id=1aAixT4X3oMlaPnyeUn66aTyBkNWWtdA1" TargetMode="External"/><Relationship Id="rId22" Type="http://schemas.openxmlformats.org/officeDocument/2006/relationships/hyperlink" Target="https://drive.google.com/open?id=1yAIXqr72PYjgan2JSNCN8ezYZxRtGdYA" TargetMode="External"/><Relationship Id="rId27" Type="http://schemas.openxmlformats.org/officeDocument/2006/relationships/hyperlink" Target="https://drive.google.com/open?id=1C1ZY2cZZxU84YSbqq9KRLh32oq6TzhWw" TargetMode="External"/><Relationship Id="rId30" Type="http://schemas.openxmlformats.org/officeDocument/2006/relationships/hyperlink" Target="https://drive.google.com/open?id=1ZfuBksZNBnqudC0m05NfyUpFRHQ6ykmX" TargetMode="External"/><Relationship Id="rId35" Type="http://schemas.openxmlformats.org/officeDocument/2006/relationships/hyperlink" Target="https://drive.google.com/open?id=12QD-YtuWEDwZom03jipdxzBSOb8eJ-f4" TargetMode="External"/><Relationship Id="rId43" Type="http://schemas.openxmlformats.org/officeDocument/2006/relationships/hyperlink" Target="https://drive.google.com/open?id=1NJOnM5Ci85wblpi1uxOqwpGWluGSAjxF" TargetMode="External"/><Relationship Id="rId48" Type="http://schemas.openxmlformats.org/officeDocument/2006/relationships/hyperlink" Target="https://drive.google.com/open?id=18RChnsDv5U3Li8JLE1phZGFOyyYaq6jm" TargetMode="External"/><Relationship Id="rId56" Type="http://schemas.openxmlformats.org/officeDocument/2006/relationships/hyperlink" Target="https://drive.google.com/open?id=1cUXY4KBEIOHK5IMO2NmL9lbpXJ8BW-RK" TargetMode="External"/><Relationship Id="rId64" Type="http://schemas.openxmlformats.org/officeDocument/2006/relationships/hyperlink" Target="https://drive.google.com/open?id=15VYv3ygmrj5O_9L5yXfy_zGyqG--NWl3" TargetMode="External"/><Relationship Id="rId69" Type="http://schemas.openxmlformats.org/officeDocument/2006/relationships/hyperlink" Target="https://drive.google.com/open?id=1cLn352ORFwG3x9p84sbhvpdUdPtsJWfA" TargetMode="External"/><Relationship Id="rId8" Type="http://schemas.openxmlformats.org/officeDocument/2006/relationships/hyperlink" Target="https://drive.google.com/open?id=1VDOLaPzyd8zQIeIwdorOhMVsva8E5Rig" TargetMode="External"/><Relationship Id="rId51" Type="http://schemas.openxmlformats.org/officeDocument/2006/relationships/hyperlink" Target="https://drive.google.com/open?id=1pgvCi5-q6NLp9JajowQwOAhkl1yJl7lZ" TargetMode="External"/><Relationship Id="rId72" Type="http://schemas.openxmlformats.org/officeDocument/2006/relationships/hyperlink" Target="https://drive.google.com/open?id=1_Ue965tajIS8_nDUKcPNtBPjnLzaOm1B" TargetMode="External"/><Relationship Id="rId3" Type="http://schemas.openxmlformats.org/officeDocument/2006/relationships/hyperlink" Target="https://drive.google.com/open?id=1c1ZXddNmxGsqmFiUPf0SM5QuOvdb5AyC" TargetMode="External"/><Relationship Id="rId12" Type="http://schemas.openxmlformats.org/officeDocument/2006/relationships/hyperlink" Target="https://drive.google.com/open?id=1XsC-a5n3TSLtY8ufGBh4UXYoGUcK8ykf" TargetMode="External"/><Relationship Id="rId17" Type="http://schemas.openxmlformats.org/officeDocument/2006/relationships/hyperlink" Target="https://drive.google.com/open?id=1j4LRsXgWuRnxcaGbuEd15_Tc6RZsm7Aq" TargetMode="External"/><Relationship Id="rId25" Type="http://schemas.openxmlformats.org/officeDocument/2006/relationships/hyperlink" Target="https://drive.google.com/open?id=12kMrF23lLe4eqgipVMYRpVkTgWyhLL1d" TargetMode="External"/><Relationship Id="rId33" Type="http://schemas.openxmlformats.org/officeDocument/2006/relationships/hyperlink" Target="https://drive.google.com/open?id=1ZjjORvb-DWTExsUwjUjwjERTk7tX5u77" TargetMode="External"/><Relationship Id="rId38" Type="http://schemas.openxmlformats.org/officeDocument/2006/relationships/hyperlink" Target="https://drive.google.com/open?id=1OhfOZl7lJA5W-YDTMMB2BCFRiZmp06CO" TargetMode="External"/><Relationship Id="rId46" Type="http://schemas.openxmlformats.org/officeDocument/2006/relationships/hyperlink" Target="https://drive.google.com/open?id=1TbK2It6vB5YUrxnE30CZB3LK8iESSZAf" TargetMode="External"/><Relationship Id="rId59" Type="http://schemas.openxmlformats.org/officeDocument/2006/relationships/hyperlink" Target="https://drive.google.com/open?id=1A8l-V6jWg60uojhqjPJ3EuJlLQ17QPW9" TargetMode="External"/><Relationship Id="rId67" Type="http://schemas.openxmlformats.org/officeDocument/2006/relationships/hyperlink" Target="https://drive.google.com/open?id=1EAl5watknfb1r9oEefRJusNYBr7txmtH" TargetMode="External"/><Relationship Id="rId20" Type="http://schemas.openxmlformats.org/officeDocument/2006/relationships/hyperlink" Target="https://drive.google.com/open?id=1L52JvGd1wRQwwEW7I2HpaQ3vS09a-b91" TargetMode="External"/><Relationship Id="rId41" Type="http://schemas.openxmlformats.org/officeDocument/2006/relationships/hyperlink" Target="https://drive.google.com/open?id=1Ru_9pEwJDeU2_YS4VhoYN1tKQqsmE9fF" TargetMode="External"/><Relationship Id="rId54" Type="http://schemas.openxmlformats.org/officeDocument/2006/relationships/hyperlink" Target="https://drive.google.com/open?id=18Si1o4aOSmd8krGhRJBMA_ih8w3iGTUj" TargetMode="External"/><Relationship Id="rId62" Type="http://schemas.openxmlformats.org/officeDocument/2006/relationships/hyperlink" Target="https://drive.google.com/open?id=1TXvmx3kPRualJipGzVWQW903L9N-2c3Y" TargetMode="External"/><Relationship Id="rId70" Type="http://schemas.openxmlformats.org/officeDocument/2006/relationships/hyperlink" Target="https://drive.google.com/open?id=15XSoI8nUkbpyCSQWmjkK3MW1gI8HFbRq" TargetMode="External"/><Relationship Id="rId1" Type="http://schemas.openxmlformats.org/officeDocument/2006/relationships/hyperlink" Target="https://drive.google.com/open?id=1rWFsRhy5KfE-rMw1TWvu-9Z1wUQsDBYV" TargetMode="External"/><Relationship Id="rId6" Type="http://schemas.openxmlformats.org/officeDocument/2006/relationships/hyperlink" Target="https://drive.google.com/open?id=1YWlVnd48a1QWgN5F3gmC6mVv5kRAU9Y-" TargetMode="External"/><Relationship Id="rId15" Type="http://schemas.openxmlformats.org/officeDocument/2006/relationships/hyperlink" Target="https://drive.google.com/open?id=17Iv4eodPlbMDJ9N8cn0mnd7nm2rD0VBO" TargetMode="External"/><Relationship Id="rId23" Type="http://schemas.openxmlformats.org/officeDocument/2006/relationships/hyperlink" Target="https://drive.google.com/open?id=1an8XMN1d8B52-buNGogMI7qL2D4MdfeJ" TargetMode="External"/><Relationship Id="rId28" Type="http://schemas.openxmlformats.org/officeDocument/2006/relationships/hyperlink" Target="https://drive.google.com/open?id=1WB1K-UpJ_vy9U0WlqWesVUzvPcz6CVCC" TargetMode="External"/><Relationship Id="rId36" Type="http://schemas.openxmlformats.org/officeDocument/2006/relationships/hyperlink" Target="https://drive.google.com/open?id=1cSWDr_Fz0_kp5lX9WeUQR8Ehd8YTisri" TargetMode="External"/><Relationship Id="rId49" Type="http://schemas.openxmlformats.org/officeDocument/2006/relationships/hyperlink" Target="https://drive.google.com/open?id=1-gmBMgubOqS0safHzB9ggJYleGI0wx0V" TargetMode="External"/><Relationship Id="rId57" Type="http://schemas.openxmlformats.org/officeDocument/2006/relationships/hyperlink" Target="https://drive.google.com/open?id=1VU4RA0lvVdEVJtdOaETLOPBNhwcBc2PB" TargetMode="External"/><Relationship Id="rId10" Type="http://schemas.openxmlformats.org/officeDocument/2006/relationships/hyperlink" Target="https://drive.google.com/open?id=1laBGuCbYJNljZHgJ_GxCRqlJJfgFSbif" TargetMode="External"/><Relationship Id="rId31" Type="http://schemas.openxmlformats.org/officeDocument/2006/relationships/hyperlink" Target="https://drive.google.com/open?id=1MWEbzGCwsTqQtFsRijVRYoo-HF8hQxHY" TargetMode="External"/><Relationship Id="rId44" Type="http://schemas.openxmlformats.org/officeDocument/2006/relationships/hyperlink" Target="https://drive.google.com/open?id=1LCT_NTGI9UZAanj9LRQR8YT3P2bKpfE1" TargetMode="External"/><Relationship Id="rId52" Type="http://schemas.openxmlformats.org/officeDocument/2006/relationships/hyperlink" Target="https://drive.google.com/open?id=1ixOnv0chHa6kepo8F17uMAAcTt91ivp_" TargetMode="External"/><Relationship Id="rId60" Type="http://schemas.openxmlformats.org/officeDocument/2006/relationships/hyperlink" Target="https://drive.google.com/open?id=1dtc-lfadjkzE66tXNqQsXZq3-_ikn6tL" TargetMode="External"/><Relationship Id="rId65" Type="http://schemas.openxmlformats.org/officeDocument/2006/relationships/hyperlink" Target="https://drive.google.com/open?id=1rx324iblHxwHoLIIYRiC3McCYMnV-ckj" TargetMode="External"/><Relationship Id="rId73" Type="http://schemas.openxmlformats.org/officeDocument/2006/relationships/hyperlink" Target="https://drive.google.com/open?id=1elZVHkjKH6_vXeabs-06DwFUuZ6A_WXO" TargetMode="External"/><Relationship Id="rId4" Type="http://schemas.openxmlformats.org/officeDocument/2006/relationships/hyperlink" Target="https://drive.google.com/open?id=1Z32LyxmsAlY3uSD5ukp1OtblKXTE0189" TargetMode="External"/><Relationship Id="rId9" Type="http://schemas.openxmlformats.org/officeDocument/2006/relationships/hyperlink" Target="https://drive.google.com/open?id=1_PhXmOvTSk1KNuuuw7Z7PTD6uKUp39fC" TargetMode="External"/><Relationship Id="rId13" Type="http://schemas.openxmlformats.org/officeDocument/2006/relationships/hyperlink" Target="https://drive.google.com/open?id=1NXE3nU-vYt7cvwKomTMNU7x7JZGjiYZz" TargetMode="External"/><Relationship Id="rId18" Type="http://schemas.openxmlformats.org/officeDocument/2006/relationships/hyperlink" Target="https://drive.google.com/open?id=1RVbRqH0I9vOYXmC6N8FW-YruUzHfFfmW" TargetMode="External"/><Relationship Id="rId39" Type="http://schemas.openxmlformats.org/officeDocument/2006/relationships/hyperlink" Target="https://drive.google.com/open?id=1Lo2CT3jHjoGqh1jzQv1Xt66ZAQ-3OqYt" TargetMode="External"/><Relationship Id="rId34" Type="http://schemas.openxmlformats.org/officeDocument/2006/relationships/hyperlink" Target="https://drive.google.com/open?id=1vZC3sG0H-xrms-Bebxlob_LaIkviRcwo" TargetMode="External"/><Relationship Id="rId50" Type="http://schemas.openxmlformats.org/officeDocument/2006/relationships/hyperlink" Target="https://drive.google.com/open?id=1YcHTABhYp3A7TgCH0Z50LWPMVrv8xmnB" TargetMode="External"/><Relationship Id="rId55" Type="http://schemas.openxmlformats.org/officeDocument/2006/relationships/hyperlink" Target="https://drive.google.com/open?id=1ExHWvme1JHh81paYo9RMHn0nelF49j85" TargetMode="External"/><Relationship Id="rId7" Type="http://schemas.openxmlformats.org/officeDocument/2006/relationships/hyperlink" Target="https://drive.google.com/open?id=1B35ggh-5Q5TWV1ehKjx5v9ZgfCmxpijW" TargetMode="External"/><Relationship Id="rId71" Type="http://schemas.openxmlformats.org/officeDocument/2006/relationships/hyperlink" Target="https://drive.google.com/open?id=17QW3x_LBStoG92HWd9tIsqdSPAfgXdc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68237-4502-4342-B5DB-41232271C248}">
  <dimension ref="A1:X137"/>
  <sheetViews>
    <sheetView tabSelected="1" workbookViewId="0">
      <selection activeCell="C1" sqref="C1:E1048576"/>
    </sheetView>
  </sheetViews>
  <sheetFormatPr defaultRowHeight="15" x14ac:dyDescent="0.25"/>
  <cols>
    <col min="1" max="1" width="15.42578125" style="6" bestFit="1" customWidth="1"/>
    <col min="2" max="2" width="31.5703125" style="6" customWidth="1"/>
    <col min="3" max="3" width="49.7109375" style="6" customWidth="1"/>
    <col min="4" max="4" width="15" style="6" customWidth="1"/>
    <col min="5" max="5" width="9.140625" style="35"/>
    <col min="6" max="6" width="45.7109375" style="6" customWidth="1"/>
    <col min="7" max="7" width="38" style="6" customWidth="1"/>
    <col min="8" max="11" width="9.140625" style="6"/>
    <col min="12" max="14" width="18" style="6" customWidth="1"/>
    <col min="15" max="16384" width="9.140625" style="6"/>
  </cols>
  <sheetData>
    <row r="1" spans="1:24" ht="15.75" thickBot="1" x14ac:dyDescent="0.3">
      <c r="A1" s="7" t="s">
        <v>0</v>
      </c>
      <c r="B1" s="1" t="s">
        <v>1</v>
      </c>
      <c r="C1" s="1" t="s">
        <v>2</v>
      </c>
      <c r="D1" s="1" t="s">
        <v>3</v>
      </c>
      <c r="E1" s="30" t="s">
        <v>265</v>
      </c>
      <c r="F1" s="1" t="s">
        <v>4</v>
      </c>
      <c r="G1" s="1" t="s">
        <v>5</v>
      </c>
      <c r="H1" s="1" t="s">
        <v>6</v>
      </c>
      <c r="I1" s="8" t="s">
        <v>7</v>
      </c>
      <c r="J1" s="1" t="s">
        <v>8</v>
      </c>
      <c r="K1" s="1" t="s">
        <v>9</v>
      </c>
      <c r="L1" s="1" t="s">
        <v>10</v>
      </c>
      <c r="M1" s="8" t="s">
        <v>11</v>
      </c>
      <c r="N1" s="1" t="s">
        <v>12</v>
      </c>
      <c r="O1" s="8" t="s">
        <v>13</v>
      </c>
      <c r="P1" s="1" t="s">
        <v>14</v>
      </c>
      <c r="Q1" s="8" t="s">
        <v>15</v>
      </c>
      <c r="R1" s="9" t="s">
        <v>16</v>
      </c>
      <c r="S1" s="10"/>
      <c r="T1" s="10"/>
      <c r="U1" s="10"/>
      <c r="V1" s="10"/>
      <c r="W1" s="10"/>
      <c r="X1" s="10"/>
    </row>
    <row r="2" spans="1:24" ht="15.75" thickBot="1" x14ac:dyDescent="0.3">
      <c r="A2" s="11">
        <v>46268.857754629629</v>
      </c>
      <c r="B2" s="12" t="s">
        <v>17</v>
      </c>
      <c r="C2" s="12" t="s">
        <v>18</v>
      </c>
      <c r="D2" s="12" t="s">
        <v>19</v>
      </c>
      <c r="E2" s="31">
        <v>8</v>
      </c>
      <c r="F2" s="2" t="s">
        <v>20</v>
      </c>
      <c r="G2" s="2" t="s">
        <v>21</v>
      </c>
      <c r="H2" s="12" t="s">
        <v>22</v>
      </c>
      <c r="I2" s="13">
        <v>1</v>
      </c>
      <c r="J2" s="12" t="s">
        <v>23</v>
      </c>
      <c r="K2" s="14">
        <v>1</v>
      </c>
      <c r="L2" s="12" t="s">
        <v>24</v>
      </c>
      <c r="M2" s="13">
        <v>1</v>
      </c>
      <c r="N2" s="12" t="s">
        <v>25</v>
      </c>
      <c r="O2" s="13">
        <v>0</v>
      </c>
      <c r="P2" s="12" t="s">
        <v>26</v>
      </c>
      <c r="Q2" s="13">
        <v>1</v>
      </c>
      <c r="R2" s="15"/>
      <c r="S2" s="5"/>
      <c r="T2" s="5"/>
      <c r="U2" s="5"/>
      <c r="V2" s="5"/>
      <c r="W2" s="5"/>
      <c r="X2" s="5"/>
    </row>
    <row r="3" spans="1:24" ht="15.75" thickBot="1" x14ac:dyDescent="0.3">
      <c r="A3" s="16">
        <v>46268.860567129632</v>
      </c>
      <c r="B3" s="17" t="s">
        <v>27</v>
      </c>
      <c r="C3" s="17" t="s">
        <v>28</v>
      </c>
      <c r="D3" s="17" t="s">
        <v>29</v>
      </c>
      <c r="E3" s="32">
        <v>10</v>
      </c>
      <c r="F3" s="3" t="s">
        <v>30</v>
      </c>
      <c r="G3" s="3" t="s">
        <v>31</v>
      </c>
      <c r="H3" s="17" t="s">
        <v>22</v>
      </c>
      <c r="I3" s="18">
        <v>1</v>
      </c>
      <c r="J3" s="19">
        <v>7707</v>
      </c>
      <c r="K3" s="20">
        <v>1</v>
      </c>
      <c r="L3" s="17" t="s">
        <v>32</v>
      </c>
      <c r="M3" s="18">
        <v>1</v>
      </c>
      <c r="N3" s="17" t="s">
        <v>33</v>
      </c>
      <c r="O3" s="18">
        <v>1</v>
      </c>
      <c r="P3" s="17" t="s">
        <v>34</v>
      </c>
      <c r="Q3" s="18">
        <v>1</v>
      </c>
      <c r="R3" s="21"/>
      <c r="S3" s="5"/>
      <c r="T3" s="5"/>
      <c r="U3" s="5"/>
      <c r="V3" s="5"/>
      <c r="W3" s="5"/>
      <c r="X3" s="5"/>
    </row>
    <row r="4" spans="1:24" ht="15.75" thickBot="1" x14ac:dyDescent="0.3">
      <c r="A4" s="11">
        <v>46268.862037037034</v>
      </c>
      <c r="B4" s="12" t="s">
        <v>35</v>
      </c>
      <c r="C4" s="12" t="s">
        <v>36</v>
      </c>
      <c r="D4" s="12" t="s">
        <v>37</v>
      </c>
      <c r="E4" s="31">
        <v>4</v>
      </c>
      <c r="F4" s="2" t="s">
        <v>38</v>
      </c>
      <c r="G4" s="2" t="s">
        <v>39</v>
      </c>
      <c r="H4" s="12" t="s">
        <v>40</v>
      </c>
      <c r="I4" s="13">
        <v>0</v>
      </c>
      <c r="J4" s="14">
        <v>751</v>
      </c>
      <c r="K4" s="14">
        <v>0</v>
      </c>
      <c r="L4" s="12" t="s">
        <v>41</v>
      </c>
      <c r="M4" s="13">
        <v>1</v>
      </c>
      <c r="N4" s="12" t="s">
        <v>42</v>
      </c>
      <c r="O4" s="13">
        <v>0</v>
      </c>
      <c r="P4" s="12" t="s">
        <v>43</v>
      </c>
      <c r="Q4" s="13">
        <v>1</v>
      </c>
      <c r="R4" s="15"/>
      <c r="S4" s="5"/>
      <c r="T4" s="5"/>
      <c r="U4" s="5"/>
      <c r="V4" s="5"/>
      <c r="W4" s="5"/>
      <c r="X4" s="5"/>
    </row>
    <row r="5" spans="1:24" ht="15.75" thickBot="1" x14ac:dyDescent="0.3">
      <c r="A5" s="16">
        <v>46268.863703703704</v>
      </c>
      <c r="B5" s="17" t="s">
        <v>44</v>
      </c>
      <c r="C5" s="17" t="s">
        <v>45</v>
      </c>
      <c r="D5" s="17" t="s">
        <v>46</v>
      </c>
      <c r="E5" s="32">
        <v>8</v>
      </c>
      <c r="F5" s="3" t="s">
        <v>47</v>
      </c>
      <c r="G5" s="3" t="s">
        <v>48</v>
      </c>
      <c r="H5" s="17" t="s">
        <v>22</v>
      </c>
      <c r="I5" s="18">
        <v>1</v>
      </c>
      <c r="J5" s="19">
        <v>7544</v>
      </c>
      <c r="K5" s="20">
        <v>1</v>
      </c>
      <c r="L5" s="17" t="s">
        <v>32</v>
      </c>
      <c r="M5" s="18">
        <v>1</v>
      </c>
      <c r="N5" s="17" t="s">
        <v>25</v>
      </c>
      <c r="O5" s="18">
        <v>0</v>
      </c>
      <c r="P5" s="17" t="s">
        <v>34</v>
      </c>
      <c r="Q5" s="18">
        <v>1</v>
      </c>
      <c r="R5" s="21"/>
      <c r="S5" s="5"/>
      <c r="T5" s="5"/>
      <c r="U5" s="5"/>
      <c r="V5" s="5"/>
      <c r="W5" s="5"/>
      <c r="X5" s="5"/>
    </row>
    <row r="6" spans="1:24" ht="15.75" thickBot="1" x14ac:dyDescent="0.3">
      <c r="A6" s="11">
        <v>46268.772881944446</v>
      </c>
      <c r="B6" s="12" t="s">
        <v>49</v>
      </c>
      <c r="C6" s="12" t="s">
        <v>50</v>
      </c>
      <c r="D6" s="12" t="s">
        <v>51</v>
      </c>
      <c r="E6" s="31">
        <v>8</v>
      </c>
      <c r="F6" s="2" t="s">
        <v>52</v>
      </c>
      <c r="G6" s="2" t="s">
        <v>53</v>
      </c>
      <c r="H6" s="12" t="s">
        <v>54</v>
      </c>
      <c r="I6" s="13">
        <v>1</v>
      </c>
      <c r="J6" s="22">
        <v>749145</v>
      </c>
      <c r="K6" s="14">
        <v>1</v>
      </c>
      <c r="L6" s="12" t="s">
        <v>55</v>
      </c>
      <c r="M6" s="13">
        <v>1</v>
      </c>
      <c r="N6" s="12" t="s">
        <v>56</v>
      </c>
      <c r="O6" s="13">
        <v>1</v>
      </c>
      <c r="P6" s="12" t="s">
        <v>57</v>
      </c>
      <c r="Q6" s="13">
        <v>0</v>
      </c>
      <c r="R6" s="15"/>
      <c r="S6" s="5"/>
      <c r="T6" s="5"/>
      <c r="U6" s="5"/>
      <c r="V6" s="5"/>
      <c r="W6" s="5"/>
      <c r="X6" s="5"/>
    </row>
    <row r="7" spans="1:24" ht="15.75" thickBot="1" x14ac:dyDescent="0.3">
      <c r="A7" s="16">
        <v>46268.861319444448</v>
      </c>
      <c r="B7" s="17" t="s">
        <v>58</v>
      </c>
      <c r="C7" s="17" t="s">
        <v>59</v>
      </c>
      <c r="D7" s="17" t="s">
        <v>60</v>
      </c>
      <c r="E7" s="32">
        <v>5</v>
      </c>
      <c r="F7" s="3" t="s">
        <v>61</v>
      </c>
      <c r="G7" s="3" t="s">
        <v>62</v>
      </c>
      <c r="H7" s="17" t="s">
        <v>22</v>
      </c>
      <c r="I7" s="18">
        <v>1</v>
      </c>
      <c r="J7" s="19">
        <v>7502</v>
      </c>
      <c r="K7" s="20">
        <v>1</v>
      </c>
      <c r="L7" s="17" t="s">
        <v>63</v>
      </c>
      <c r="M7" s="18">
        <v>0.5</v>
      </c>
      <c r="N7" s="17" t="s">
        <v>25</v>
      </c>
      <c r="O7" s="18">
        <v>0</v>
      </c>
      <c r="P7" s="17" t="s">
        <v>64</v>
      </c>
      <c r="Q7" s="18">
        <v>0</v>
      </c>
      <c r="R7" s="21"/>
      <c r="S7" s="5"/>
      <c r="T7" s="5"/>
      <c r="U7" s="5"/>
      <c r="V7" s="5"/>
      <c r="W7" s="5"/>
      <c r="X7" s="5"/>
    </row>
    <row r="8" spans="1:24" ht="15.75" thickBot="1" x14ac:dyDescent="0.3">
      <c r="A8" s="11">
        <v>46268.762430555558</v>
      </c>
      <c r="B8" s="12" t="s">
        <v>65</v>
      </c>
      <c r="C8" s="12" t="s">
        <v>66</v>
      </c>
      <c r="D8" s="12" t="s">
        <v>67</v>
      </c>
      <c r="E8" s="31">
        <v>10</v>
      </c>
      <c r="F8" s="2" t="s">
        <v>68</v>
      </c>
      <c r="G8" s="2" t="s">
        <v>69</v>
      </c>
      <c r="H8" s="12" t="s">
        <v>70</v>
      </c>
      <c r="I8" s="13">
        <v>1</v>
      </c>
      <c r="J8" s="22">
        <v>7501</v>
      </c>
      <c r="K8" s="14">
        <v>1</v>
      </c>
      <c r="L8" s="12" t="s">
        <v>71</v>
      </c>
      <c r="M8" s="13">
        <v>1</v>
      </c>
      <c r="N8" s="12" t="s">
        <v>72</v>
      </c>
      <c r="O8" s="13">
        <v>1</v>
      </c>
      <c r="P8" s="12" t="s">
        <v>73</v>
      </c>
      <c r="Q8" s="13">
        <v>1</v>
      </c>
      <c r="R8" s="15"/>
      <c r="S8" s="5"/>
      <c r="T8" s="5"/>
      <c r="U8" s="5"/>
      <c r="V8" s="5"/>
      <c r="W8" s="5"/>
      <c r="X8" s="5"/>
    </row>
    <row r="9" spans="1:24" ht="15.75" thickBot="1" x14ac:dyDescent="0.3">
      <c r="A9" s="16">
        <v>46268.855416666665</v>
      </c>
      <c r="B9" s="17" t="s">
        <v>74</v>
      </c>
      <c r="C9" s="17" t="s">
        <v>75</v>
      </c>
      <c r="D9" s="17" t="s">
        <v>76</v>
      </c>
      <c r="E9" s="32">
        <v>8</v>
      </c>
      <c r="F9" s="3" t="s">
        <v>77</v>
      </c>
      <c r="G9" s="3" t="s">
        <v>78</v>
      </c>
      <c r="H9" s="17" t="s">
        <v>79</v>
      </c>
      <c r="I9" s="18">
        <v>1</v>
      </c>
      <c r="J9" s="20">
        <v>749</v>
      </c>
      <c r="K9" s="20">
        <v>1</v>
      </c>
      <c r="L9" s="17" t="s">
        <v>32</v>
      </c>
      <c r="M9" s="18">
        <v>1</v>
      </c>
      <c r="N9" s="17" t="s">
        <v>80</v>
      </c>
      <c r="O9" s="18">
        <v>1</v>
      </c>
      <c r="P9" s="17" t="s">
        <v>81</v>
      </c>
      <c r="Q9" s="18">
        <v>0</v>
      </c>
      <c r="R9" s="21"/>
      <c r="S9" s="5"/>
      <c r="T9" s="5"/>
      <c r="U9" s="5"/>
      <c r="V9" s="5"/>
      <c r="W9" s="5"/>
      <c r="X9" s="5"/>
    </row>
    <row r="10" spans="1:24" ht="15.75" thickBot="1" x14ac:dyDescent="0.3">
      <c r="A10" s="11">
        <v>46268.762303240743</v>
      </c>
      <c r="B10" s="12" t="s">
        <v>82</v>
      </c>
      <c r="C10" s="12" t="s">
        <v>83</v>
      </c>
      <c r="D10" s="12" t="s">
        <v>84</v>
      </c>
      <c r="E10" s="31">
        <v>10</v>
      </c>
      <c r="F10" s="2" t="s">
        <v>85</v>
      </c>
      <c r="G10" s="2" t="s">
        <v>86</v>
      </c>
      <c r="H10" s="12" t="s">
        <v>22</v>
      </c>
      <c r="I10" s="13">
        <v>1</v>
      </c>
      <c r="J10" s="14">
        <v>748</v>
      </c>
      <c r="K10" s="14">
        <v>1</v>
      </c>
      <c r="L10" s="12" t="s">
        <v>32</v>
      </c>
      <c r="M10" s="13">
        <v>1</v>
      </c>
      <c r="N10" s="12" t="s">
        <v>72</v>
      </c>
      <c r="O10" s="13">
        <v>1</v>
      </c>
      <c r="P10" s="12" t="s">
        <v>73</v>
      </c>
      <c r="Q10" s="13">
        <v>1</v>
      </c>
      <c r="R10" s="15"/>
      <c r="S10" s="5"/>
      <c r="T10" s="5"/>
      <c r="U10" s="5"/>
      <c r="V10" s="5"/>
      <c r="W10" s="5"/>
      <c r="X10" s="5"/>
    </row>
    <row r="11" spans="1:24" ht="15.75" thickBot="1" x14ac:dyDescent="0.3">
      <c r="A11" s="16">
        <v>46268.768807870372</v>
      </c>
      <c r="B11" s="17" t="s">
        <v>87</v>
      </c>
      <c r="C11" s="17" t="s">
        <v>88</v>
      </c>
      <c r="D11" s="17" t="s">
        <v>89</v>
      </c>
      <c r="E11" s="32">
        <v>10</v>
      </c>
      <c r="F11" s="3" t="s">
        <v>90</v>
      </c>
      <c r="G11" s="3" t="s">
        <v>91</v>
      </c>
      <c r="H11" s="17" t="s">
        <v>22</v>
      </c>
      <c r="I11" s="18">
        <v>1</v>
      </c>
      <c r="J11" s="19">
        <v>7511</v>
      </c>
      <c r="K11" s="20">
        <v>1</v>
      </c>
      <c r="L11" s="17" t="s">
        <v>32</v>
      </c>
      <c r="M11" s="18">
        <v>1</v>
      </c>
      <c r="N11" s="17" t="s">
        <v>72</v>
      </c>
      <c r="O11" s="18">
        <v>1</v>
      </c>
      <c r="P11" s="17" t="s">
        <v>92</v>
      </c>
      <c r="Q11" s="18">
        <v>1</v>
      </c>
      <c r="R11" s="21"/>
      <c r="S11" s="5"/>
      <c r="T11" s="5"/>
      <c r="U11" s="5"/>
      <c r="V11" s="5"/>
      <c r="W11" s="5"/>
      <c r="X11" s="5"/>
    </row>
    <row r="12" spans="1:24" ht="15.75" thickBot="1" x14ac:dyDescent="0.3">
      <c r="A12" s="11">
        <v>46268.839282407411</v>
      </c>
      <c r="B12" s="12" t="s">
        <v>93</v>
      </c>
      <c r="C12" s="12" t="s">
        <v>94</v>
      </c>
      <c r="D12" s="12" t="s">
        <v>95</v>
      </c>
      <c r="E12" s="31">
        <v>10</v>
      </c>
      <c r="F12" s="2" t="s">
        <v>96</v>
      </c>
      <c r="G12" s="2" t="s">
        <v>97</v>
      </c>
      <c r="H12" s="12" t="s">
        <v>22</v>
      </c>
      <c r="I12" s="13">
        <v>1</v>
      </c>
      <c r="J12" s="22">
        <v>800565</v>
      </c>
      <c r="K12" s="14">
        <v>1</v>
      </c>
      <c r="L12" s="12" t="s">
        <v>32</v>
      </c>
      <c r="M12" s="13">
        <v>1</v>
      </c>
      <c r="N12" s="12" t="s">
        <v>98</v>
      </c>
      <c r="O12" s="13">
        <v>1</v>
      </c>
      <c r="P12" s="12" t="s">
        <v>73</v>
      </c>
      <c r="Q12" s="13">
        <v>1</v>
      </c>
      <c r="R12" s="15"/>
      <c r="S12" s="5"/>
      <c r="T12" s="5"/>
      <c r="U12" s="5"/>
      <c r="V12" s="5"/>
      <c r="W12" s="5"/>
      <c r="X12" s="5"/>
    </row>
    <row r="13" spans="1:24" ht="15.75" thickBot="1" x14ac:dyDescent="0.3">
      <c r="A13" s="16">
        <v>46268.863958333335</v>
      </c>
      <c r="B13" s="17" t="s">
        <v>99</v>
      </c>
      <c r="C13" s="17" t="s">
        <v>100</v>
      </c>
      <c r="D13" s="17" t="s">
        <v>101</v>
      </c>
      <c r="E13" s="32">
        <v>8</v>
      </c>
      <c r="F13" s="3" t="s">
        <v>102</v>
      </c>
      <c r="G13" s="3" t="s">
        <v>103</v>
      </c>
      <c r="H13" s="17" t="s">
        <v>79</v>
      </c>
      <c r="I13" s="18">
        <v>1</v>
      </c>
      <c r="J13" s="19">
        <v>754365</v>
      </c>
      <c r="K13" s="20">
        <v>1</v>
      </c>
      <c r="L13" s="17" t="s">
        <v>32</v>
      </c>
      <c r="M13" s="18">
        <v>1</v>
      </c>
      <c r="N13" s="17" t="s">
        <v>25</v>
      </c>
      <c r="O13" s="18">
        <v>0</v>
      </c>
      <c r="P13" s="17" t="s">
        <v>34</v>
      </c>
      <c r="Q13" s="18">
        <v>1</v>
      </c>
      <c r="R13" s="21"/>
      <c r="S13" s="5"/>
      <c r="T13" s="5"/>
      <c r="U13" s="5"/>
      <c r="V13" s="5"/>
      <c r="W13" s="5"/>
      <c r="X13" s="5"/>
    </row>
    <row r="14" spans="1:24" ht="15.75" thickBot="1" x14ac:dyDescent="0.3">
      <c r="A14" s="11">
        <v>46268.861180555556</v>
      </c>
      <c r="B14" s="12" t="s">
        <v>104</v>
      </c>
      <c r="C14" s="12" t="s">
        <v>105</v>
      </c>
      <c r="D14" s="12" t="s">
        <v>106</v>
      </c>
      <c r="E14" s="31">
        <v>6</v>
      </c>
      <c r="F14" s="2" t="s">
        <v>107</v>
      </c>
      <c r="G14" s="2" t="s">
        <v>108</v>
      </c>
      <c r="H14" s="12" t="s">
        <v>79</v>
      </c>
      <c r="I14" s="13">
        <v>1</v>
      </c>
      <c r="J14" s="22">
        <v>7410</v>
      </c>
      <c r="K14" s="14">
        <v>1</v>
      </c>
      <c r="L14" s="12" t="s">
        <v>109</v>
      </c>
      <c r="M14" s="13">
        <v>0</v>
      </c>
      <c r="N14" s="12" t="s">
        <v>110</v>
      </c>
      <c r="O14" s="13">
        <v>0</v>
      </c>
      <c r="P14" s="12" t="s">
        <v>111</v>
      </c>
      <c r="Q14" s="13">
        <v>1</v>
      </c>
      <c r="R14" s="15"/>
      <c r="S14" s="5"/>
      <c r="T14" s="5"/>
      <c r="U14" s="5"/>
      <c r="V14" s="5"/>
      <c r="W14" s="5"/>
      <c r="X14" s="5"/>
    </row>
    <row r="15" spans="1:24" ht="15.75" thickBot="1" x14ac:dyDescent="0.3">
      <c r="A15" s="16">
        <v>46268.859247685185</v>
      </c>
      <c r="B15" s="17" t="s">
        <v>112</v>
      </c>
      <c r="C15" s="17" t="s">
        <v>113</v>
      </c>
      <c r="D15" s="17" t="s">
        <v>114</v>
      </c>
      <c r="E15" s="32">
        <v>10</v>
      </c>
      <c r="F15" s="3" t="s">
        <v>115</v>
      </c>
      <c r="G15" s="3" t="s">
        <v>116</v>
      </c>
      <c r="H15" s="17" t="s">
        <v>22</v>
      </c>
      <c r="I15" s="18">
        <v>1</v>
      </c>
      <c r="J15" s="19">
        <v>7558</v>
      </c>
      <c r="K15" s="20">
        <v>1</v>
      </c>
      <c r="L15" s="17" t="s">
        <v>32</v>
      </c>
      <c r="M15" s="18">
        <v>1</v>
      </c>
      <c r="N15" s="17" t="s">
        <v>117</v>
      </c>
      <c r="O15" s="18">
        <v>1</v>
      </c>
      <c r="P15" s="17" t="s">
        <v>73</v>
      </c>
      <c r="Q15" s="18">
        <v>1</v>
      </c>
      <c r="R15" s="21"/>
      <c r="S15" s="5"/>
      <c r="T15" s="5"/>
      <c r="U15" s="5"/>
      <c r="V15" s="5"/>
      <c r="W15" s="5"/>
      <c r="X15" s="5"/>
    </row>
    <row r="16" spans="1:24" ht="15.75" thickBot="1" x14ac:dyDescent="0.3">
      <c r="A16" s="11">
        <v>46268.857916666668</v>
      </c>
      <c r="B16" s="12" t="s">
        <v>118</v>
      </c>
      <c r="C16" s="12" t="s">
        <v>119</v>
      </c>
      <c r="D16" s="12" t="s">
        <v>120</v>
      </c>
      <c r="E16" s="31">
        <v>6</v>
      </c>
      <c r="F16" s="2" t="s">
        <v>121</v>
      </c>
      <c r="G16" s="2" t="s">
        <v>122</v>
      </c>
      <c r="H16" s="12" t="s">
        <v>22</v>
      </c>
      <c r="I16" s="13">
        <v>1</v>
      </c>
      <c r="J16" s="22">
        <v>7412</v>
      </c>
      <c r="K16" s="14">
        <v>1</v>
      </c>
      <c r="L16" s="12" t="s">
        <v>123</v>
      </c>
      <c r="M16" s="13">
        <v>0</v>
      </c>
      <c r="N16" s="12" t="s">
        <v>124</v>
      </c>
      <c r="O16" s="13">
        <v>0</v>
      </c>
      <c r="P16" s="12" t="s">
        <v>125</v>
      </c>
      <c r="Q16" s="13">
        <v>1</v>
      </c>
      <c r="R16" s="15"/>
      <c r="S16" s="5"/>
      <c r="T16" s="5"/>
      <c r="U16" s="5"/>
      <c r="V16" s="5"/>
      <c r="W16" s="5"/>
      <c r="X16" s="5"/>
    </row>
    <row r="17" spans="1:24" ht="15.75" thickBot="1" x14ac:dyDescent="0.3">
      <c r="A17" s="16">
        <v>46268.855428240742</v>
      </c>
      <c r="B17" s="17" t="s">
        <v>126</v>
      </c>
      <c r="C17" s="17" t="s">
        <v>127</v>
      </c>
      <c r="D17" s="17" t="s">
        <v>128</v>
      </c>
      <c r="E17" s="32">
        <v>8</v>
      </c>
      <c r="F17" s="3" t="s">
        <v>129</v>
      </c>
      <c r="G17" s="3" t="s">
        <v>130</v>
      </c>
      <c r="H17" s="17" t="s">
        <v>79</v>
      </c>
      <c r="I17" s="18">
        <v>1</v>
      </c>
      <c r="J17" s="20">
        <v>749</v>
      </c>
      <c r="K17" s="20">
        <v>1</v>
      </c>
      <c r="L17" s="17" t="s">
        <v>32</v>
      </c>
      <c r="M17" s="18">
        <v>1</v>
      </c>
      <c r="N17" s="17" t="s">
        <v>80</v>
      </c>
      <c r="O17" s="18">
        <v>1</v>
      </c>
      <c r="P17" s="17" t="s">
        <v>81</v>
      </c>
      <c r="Q17" s="18">
        <v>0</v>
      </c>
      <c r="R17" s="21"/>
      <c r="S17" s="5"/>
      <c r="T17" s="5"/>
      <c r="U17" s="5"/>
      <c r="V17" s="5"/>
      <c r="W17" s="5"/>
      <c r="X17" s="5"/>
    </row>
    <row r="18" spans="1:24" ht="15.75" thickBot="1" x14ac:dyDescent="0.3">
      <c r="A18" s="11">
        <v>46268.856527777774</v>
      </c>
      <c r="B18" s="12" t="s">
        <v>131</v>
      </c>
      <c r="C18" s="12" t="s">
        <v>132</v>
      </c>
      <c r="D18" s="12" t="s">
        <v>133</v>
      </c>
      <c r="E18" s="31">
        <v>10</v>
      </c>
      <c r="F18" s="2" t="s">
        <v>134</v>
      </c>
      <c r="G18" s="2" t="s">
        <v>135</v>
      </c>
      <c r="H18" s="12" t="s">
        <v>22</v>
      </c>
      <c r="I18" s="13">
        <v>1</v>
      </c>
      <c r="J18" s="12" t="s">
        <v>23</v>
      </c>
      <c r="K18" s="14">
        <v>1</v>
      </c>
      <c r="L18" s="12" t="s">
        <v>32</v>
      </c>
      <c r="M18" s="13">
        <v>1</v>
      </c>
      <c r="N18" s="12" t="s">
        <v>136</v>
      </c>
      <c r="O18" s="13">
        <v>1</v>
      </c>
      <c r="P18" s="12" t="s">
        <v>34</v>
      </c>
      <c r="Q18" s="13">
        <v>1</v>
      </c>
      <c r="R18" s="15"/>
      <c r="S18" s="5"/>
      <c r="T18" s="5"/>
      <c r="U18" s="5"/>
      <c r="V18" s="5"/>
      <c r="W18" s="5"/>
      <c r="X18" s="5"/>
    </row>
    <row r="19" spans="1:24" ht="15.75" thickBot="1" x14ac:dyDescent="0.3">
      <c r="A19" s="16">
        <v>46268.764328703706</v>
      </c>
      <c r="B19" s="17" t="s">
        <v>137</v>
      </c>
      <c r="C19" s="17" t="s">
        <v>138</v>
      </c>
      <c r="D19" s="17" t="s">
        <v>139</v>
      </c>
      <c r="E19" s="32">
        <v>10</v>
      </c>
      <c r="F19" s="3" t="s">
        <v>140</v>
      </c>
      <c r="G19" s="3" t="s">
        <v>141</v>
      </c>
      <c r="H19" s="17" t="s">
        <v>22</v>
      </c>
      <c r="I19" s="18">
        <v>1</v>
      </c>
      <c r="J19" s="20">
        <v>748</v>
      </c>
      <c r="K19" s="20">
        <v>1</v>
      </c>
      <c r="L19" s="17" t="s">
        <v>32</v>
      </c>
      <c r="M19" s="18">
        <v>1</v>
      </c>
      <c r="N19" s="17" t="s">
        <v>72</v>
      </c>
      <c r="O19" s="18">
        <v>1</v>
      </c>
      <c r="P19" s="17" t="s">
        <v>26</v>
      </c>
      <c r="Q19" s="18">
        <v>1</v>
      </c>
      <c r="R19" s="21"/>
      <c r="S19" s="5"/>
      <c r="T19" s="5"/>
      <c r="U19" s="5"/>
      <c r="V19" s="5"/>
      <c r="W19" s="5"/>
      <c r="X19" s="5"/>
    </row>
    <row r="20" spans="1:24" ht="15.75" thickBot="1" x14ac:dyDescent="0.3">
      <c r="A20" s="11">
        <v>46268.861122685186</v>
      </c>
      <c r="B20" s="12" t="s">
        <v>142</v>
      </c>
      <c r="C20" s="12" t="s">
        <v>143</v>
      </c>
      <c r="D20" s="12" t="s">
        <v>144</v>
      </c>
      <c r="E20" s="31">
        <v>8</v>
      </c>
      <c r="F20" s="2" t="s">
        <v>145</v>
      </c>
      <c r="G20" s="2" t="s">
        <v>146</v>
      </c>
      <c r="H20" s="12" t="s">
        <v>22</v>
      </c>
      <c r="I20" s="13">
        <v>1</v>
      </c>
      <c r="J20" s="22">
        <v>7544</v>
      </c>
      <c r="K20" s="14">
        <v>1</v>
      </c>
      <c r="L20" s="12" t="s">
        <v>32</v>
      </c>
      <c r="M20" s="13">
        <v>1</v>
      </c>
      <c r="N20" s="12" t="s">
        <v>25</v>
      </c>
      <c r="O20" s="13">
        <v>0</v>
      </c>
      <c r="P20" s="12" t="s">
        <v>34</v>
      </c>
      <c r="Q20" s="13">
        <v>1</v>
      </c>
      <c r="R20" s="15"/>
      <c r="S20" s="5"/>
      <c r="T20" s="5"/>
      <c r="U20" s="5"/>
      <c r="V20" s="5"/>
      <c r="W20" s="5"/>
      <c r="X20" s="5"/>
    </row>
    <row r="21" spans="1:24" ht="15.75" thickBot="1" x14ac:dyDescent="0.3">
      <c r="A21" s="16">
        <v>46268.851574074077</v>
      </c>
      <c r="B21" s="17" t="s">
        <v>147</v>
      </c>
      <c r="C21" s="17" t="s">
        <v>148</v>
      </c>
      <c r="D21" s="17" t="s">
        <v>149</v>
      </c>
      <c r="E21" s="32">
        <v>8</v>
      </c>
      <c r="F21" s="3" t="s">
        <v>150</v>
      </c>
      <c r="G21" s="3" t="s">
        <v>151</v>
      </c>
      <c r="H21" s="17" t="s">
        <v>22</v>
      </c>
      <c r="I21" s="18">
        <v>1</v>
      </c>
      <c r="J21" s="19">
        <v>7564</v>
      </c>
      <c r="K21" s="20">
        <v>1</v>
      </c>
      <c r="L21" s="17" t="s">
        <v>32</v>
      </c>
      <c r="M21" s="18">
        <v>1</v>
      </c>
      <c r="N21" s="17" t="s">
        <v>152</v>
      </c>
      <c r="O21" s="18">
        <v>1</v>
      </c>
      <c r="P21" s="17" t="s">
        <v>153</v>
      </c>
      <c r="Q21" s="18">
        <v>0</v>
      </c>
      <c r="R21" s="21"/>
      <c r="S21" s="5"/>
      <c r="T21" s="5"/>
      <c r="U21" s="5"/>
      <c r="V21" s="5"/>
      <c r="W21" s="5"/>
      <c r="X21" s="5"/>
    </row>
    <row r="22" spans="1:24" ht="15.75" thickBot="1" x14ac:dyDescent="0.3">
      <c r="A22" s="11">
        <v>46268.86105324074</v>
      </c>
      <c r="B22" s="12" t="s">
        <v>154</v>
      </c>
      <c r="C22" s="12" t="s">
        <v>155</v>
      </c>
      <c r="D22" s="12" t="s">
        <v>156</v>
      </c>
      <c r="E22" s="31">
        <v>8</v>
      </c>
      <c r="F22" s="2" t="s">
        <v>157</v>
      </c>
      <c r="G22" s="2" t="s">
        <v>158</v>
      </c>
      <c r="H22" s="12" t="s">
        <v>22</v>
      </c>
      <c r="I22" s="13">
        <v>1</v>
      </c>
      <c r="J22" s="22">
        <v>7544</v>
      </c>
      <c r="K22" s="14">
        <v>1</v>
      </c>
      <c r="L22" s="12" t="s">
        <v>32</v>
      </c>
      <c r="M22" s="13">
        <v>1</v>
      </c>
      <c r="N22" s="12" t="s">
        <v>42</v>
      </c>
      <c r="O22" s="13">
        <v>0</v>
      </c>
      <c r="P22" s="12" t="s">
        <v>34</v>
      </c>
      <c r="Q22" s="13">
        <v>1</v>
      </c>
      <c r="R22" s="15"/>
      <c r="S22" s="5"/>
      <c r="T22" s="5"/>
      <c r="U22" s="5"/>
      <c r="V22" s="5"/>
      <c r="W22" s="5"/>
      <c r="X22" s="5"/>
    </row>
    <row r="23" spans="1:24" ht="15.75" thickBot="1" x14ac:dyDescent="0.3">
      <c r="A23" s="16">
        <v>46268.777002314811</v>
      </c>
      <c r="B23" s="17" t="s">
        <v>159</v>
      </c>
      <c r="C23" s="17" t="s">
        <v>160</v>
      </c>
      <c r="D23" s="17" t="s">
        <v>161</v>
      </c>
      <c r="E23" s="32">
        <v>6</v>
      </c>
      <c r="F23" s="3" t="s">
        <v>162</v>
      </c>
      <c r="G23" s="3" t="s">
        <v>163</v>
      </c>
      <c r="H23" s="17" t="s">
        <v>164</v>
      </c>
      <c r="I23" s="18">
        <v>1</v>
      </c>
      <c r="J23" s="20">
        <v>985</v>
      </c>
      <c r="K23" s="20">
        <v>1</v>
      </c>
      <c r="L23" s="17" t="s">
        <v>165</v>
      </c>
      <c r="M23" s="18">
        <v>1</v>
      </c>
      <c r="N23" s="17" t="s">
        <v>25</v>
      </c>
      <c r="O23" s="18">
        <v>0</v>
      </c>
      <c r="P23" s="17" t="s">
        <v>57</v>
      </c>
      <c r="Q23" s="18">
        <v>0</v>
      </c>
      <c r="R23" s="21"/>
      <c r="S23" s="5"/>
      <c r="T23" s="5"/>
      <c r="U23" s="5"/>
      <c r="V23" s="5"/>
      <c r="W23" s="5"/>
      <c r="X23" s="5"/>
    </row>
    <row r="24" spans="1:24" ht="15.75" thickBot="1" x14ac:dyDescent="0.3">
      <c r="A24" s="11">
        <v>46268.860520833332</v>
      </c>
      <c r="B24" s="12" t="s">
        <v>166</v>
      </c>
      <c r="C24" s="12" t="s">
        <v>167</v>
      </c>
      <c r="D24" s="12" t="s">
        <v>168</v>
      </c>
      <c r="E24" s="31">
        <v>9</v>
      </c>
      <c r="F24" s="2" t="s">
        <v>169</v>
      </c>
      <c r="G24" s="2" t="s">
        <v>170</v>
      </c>
      <c r="H24" s="12" t="s">
        <v>22</v>
      </c>
      <c r="I24" s="13">
        <v>1</v>
      </c>
      <c r="J24" s="14">
        <v>754</v>
      </c>
      <c r="K24" s="14">
        <v>1</v>
      </c>
      <c r="L24" s="12" t="s">
        <v>63</v>
      </c>
      <c r="M24" s="13">
        <v>0.5</v>
      </c>
      <c r="N24" s="12" t="s">
        <v>171</v>
      </c>
      <c r="O24" s="13">
        <v>1</v>
      </c>
      <c r="P24" s="12" t="s">
        <v>73</v>
      </c>
      <c r="Q24" s="13">
        <v>1</v>
      </c>
      <c r="R24" s="15"/>
      <c r="S24" s="5"/>
      <c r="T24" s="5"/>
      <c r="U24" s="5"/>
      <c r="V24" s="5"/>
      <c r="W24" s="5"/>
      <c r="X24" s="5"/>
    </row>
    <row r="25" spans="1:24" ht="15.75" thickBot="1" x14ac:dyDescent="0.3">
      <c r="A25" s="16">
        <v>46268.861157407409</v>
      </c>
      <c r="B25" s="17" t="s">
        <v>172</v>
      </c>
      <c r="C25" s="17" t="s">
        <v>173</v>
      </c>
      <c r="D25" s="17" t="s">
        <v>174</v>
      </c>
      <c r="E25" s="32">
        <v>6</v>
      </c>
      <c r="F25" s="3" t="s">
        <v>175</v>
      </c>
      <c r="G25" s="3" t="s">
        <v>176</v>
      </c>
      <c r="H25" s="17" t="s">
        <v>177</v>
      </c>
      <c r="I25" s="18">
        <v>1</v>
      </c>
      <c r="J25" s="17" t="s">
        <v>178</v>
      </c>
      <c r="K25" s="20">
        <v>1</v>
      </c>
      <c r="L25" s="17" t="s">
        <v>179</v>
      </c>
      <c r="M25" s="18">
        <v>1</v>
      </c>
      <c r="N25" s="17" t="s">
        <v>25</v>
      </c>
      <c r="O25" s="18">
        <v>0</v>
      </c>
      <c r="P25" s="17" t="s">
        <v>180</v>
      </c>
      <c r="Q25" s="18">
        <v>0</v>
      </c>
      <c r="R25" s="21"/>
      <c r="S25" s="5"/>
      <c r="T25" s="5"/>
      <c r="U25" s="5"/>
      <c r="V25" s="5"/>
      <c r="W25" s="5"/>
      <c r="X25" s="5"/>
    </row>
    <row r="26" spans="1:24" ht="15.75" thickBot="1" x14ac:dyDescent="0.3">
      <c r="A26" s="11">
        <v>46268.859513888892</v>
      </c>
      <c r="B26" s="12" t="s">
        <v>181</v>
      </c>
      <c r="C26" s="12" t="s">
        <v>182</v>
      </c>
      <c r="D26" s="12" t="s">
        <v>183</v>
      </c>
      <c r="E26" s="31">
        <v>2</v>
      </c>
      <c r="F26" s="2" t="s">
        <v>184</v>
      </c>
      <c r="G26" s="2" t="s">
        <v>185</v>
      </c>
      <c r="H26" s="12" t="s">
        <v>186</v>
      </c>
      <c r="I26" s="13">
        <v>0</v>
      </c>
      <c r="J26" s="22">
        <v>7488</v>
      </c>
      <c r="K26" s="14">
        <v>0</v>
      </c>
      <c r="L26" s="12" t="s">
        <v>187</v>
      </c>
      <c r="M26" s="13">
        <v>0</v>
      </c>
      <c r="N26" s="12" t="s">
        <v>188</v>
      </c>
      <c r="O26" s="13">
        <v>0</v>
      </c>
      <c r="P26" s="12" t="s">
        <v>111</v>
      </c>
      <c r="Q26" s="13">
        <v>1</v>
      </c>
      <c r="R26" s="15"/>
      <c r="S26" s="5"/>
      <c r="T26" s="5"/>
      <c r="U26" s="5"/>
      <c r="V26" s="5"/>
      <c r="W26" s="5"/>
      <c r="X26" s="5"/>
    </row>
    <row r="27" spans="1:24" ht="15.75" thickBot="1" x14ac:dyDescent="0.3">
      <c r="A27" s="16">
        <v>46268.857777777775</v>
      </c>
      <c r="B27" s="17" t="s">
        <v>189</v>
      </c>
      <c r="C27" s="17" t="s">
        <v>190</v>
      </c>
      <c r="D27" s="17" t="s">
        <v>191</v>
      </c>
      <c r="E27" s="32">
        <v>9</v>
      </c>
      <c r="F27" s="3" t="s">
        <v>192</v>
      </c>
      <c r="G27" s="3" t="s">
        <v>193</v>
      </c>
      <c r="H27" s="17" t="s">
        <v>22</v>
      </c>
      <c r="I27" s="18">
        <v>1</v>
      </c>
      <c r="J27" s="19">
        <v>764894</v>
      </c>
      <c r="K27" s="20">
        <v>1</v>
      </c>
      <c r="L27" s="17" t="s">
        <v>32</v>
      </c>
      <c r="M27" s="18">
        <v>1</v>
      </c>
      <c r="N27" s="17" t="s">
        <v>194</v>
      </c>
      <c r="O27" s="18">
        <v>0.5</v>
      </c>
      <c r="P27" s="17" t="s">
        <v>195</v>
      </c>
      <c r="Q27" s="18">
        <v>1</v>
      </c>
      <c r="R27" s="23" t="s">
        <v>196</v>
      </c>
      <c r="S27" s="5"/>
      <c r="T27" s="5"/>
      <c r="U27" s="5"/>
      <c r="V27" s="5"/>
      <c r="W27" s="5"/>
      <c r="X27" s="5"/>
    </row>
    <row r="28" spans="1:24" ht="15.75" thickBot="1" x14ac:dyDescent="0.3">
      <c r="A28" s="11">
        <v>46268.856446759259</v>
      </c>
      <c r="B28" s="12" t="s">
        <v>197</v>
      </c>
      <c r="C28" s="12" t="s">
        <v>198</v>
      </c>
      <c r="D28" s="12" t="s">
        <v>199</v>
      </c>
      <c r="E28" s="31">
        <v>9</v>
      </c>
      <c r="F28" s="2" t="s">
        <v>200</v>
      </c>
      <c r="G28" s="2" t="s">
        <v>201</v>
      </c>
      <c r="H28" s="12" t="s">
        <v>22</v>
      </c>
      <c r="I28" s="13">
        <v>1</v>
      </c>
      <c r="J28" s="14">
        <v>754</v>
      </c>
      <c r="K28" s="14">
        <v>1</v>
      </c>
      <c r="L28" s="12" t="s">
        <v>202</v>
      </c>
      <c r="M28" s="13">
        <v>0.5</v>
      </c>
      <c r="N28" s="12" t="s">
        <v>98</v>
      </c>
      <c r="O28" s="13">
        <v>1</v>
      </c>
      <c r="P28" s="12" t="s">
        <v>73</v>
      </c>
      <c r="Q28" s="13">
        <v>1</v>
      </c>
      <c r="R28" s="15"/>
      <c r="S28" s="5"/>
      <c r="T28" s="5"/>
      <c r="U28" s="5"/>
      <c r="V28" s="5"/>
      <c r="W28" s="5"/>
      <c r="X28" s="5"/>
    </row>
    <row r="29" spans="1:24" ht="15.75" thickBot="1" x14ac:dyDescent="0.3">
      <c r="A29" s="16">
        <v>46268.860983796294</v>
      </c>
      <c r="B29" s="17" t="s">
        <v>203</v>
      </c>
      <c r="C29" s="17" t="s">
        <v>204</v>
      </c>
      <c r="D29" s="17" t="s">
        <v>205</v>
      </c>
      <c r="E29" s="32">
        <v>10</v>
      </c>
      <c r="F29" s="3" t="s">
        <v>206</v>
      </c>
      <c r="G29" s="3" t="s">
        <v>207</v>
      </c>
      <c r="H29" s="17" t="s">
        <v>79</v>
      </c>
      <c r="I29" s="18">
        <v>1</v>
      </c>
      <c r="J29" s="19">
        <v>7709</v>
      </c>
      <c r="K29" s="20">
        <v>1</v>
      </c>
      <c r="L29" s="17" t="s">
        <v>208</v>
      </c>
      <c r="M29" s="18">
        <v>1</v>
      </c>
      <c r="N29" s="17" t="s">
        <v>209</v>
      </c>
      <c r="O29" s="18">
        <v>1</v>
      </c>
      <c r="P29" s="17" t="s">
        <v>195</v>
      </c>
      <c r="Q29" s="18">
        <v>1</v>
      </c>
      <c r="R29" s="21"/>
      <c r="S29" s="5"/>
      <c r="T29" s="5"/>
      <c r="U29" s="5"/>
      <c r="V29" s="5"/>
      <c r="W29" s="5"/>
      <c r="X29" s="5"/>
    </row>
    <row r="30" spans="1:24" ht="15.75" thickBot="1" x14ac:dyDescent="0.3">
      <c r="A30" s="11">
        <v>46268.859166666669</v>
      </c>
      <c r="B30" s="12" t="s">
        <v>210</v>
      </c>
      <c r="C30" s="12" t="s">
        <v>211</v>
      </c>
      <c r="D30" s="12" t="s">
        <v>212</v>
      </c>
      <c r="E30" s="31">
        <v>10</v>
      </c>
      <c r="F30" s="2" t="s">
        <v>213</v>
      </c>
      <c r="G30" s="2" t="s">
        <v>214</v>
      </c>
      <c r="H30" s="12" t="s">
        <v>22</v>
      </c>
      <c r="I30" s="13">
        <v>1</v>
      </c>
      <c r="J30" s="22">
        <v>7558</v>
      </c>
      <c r="K30" s="14">
        <v>1</v>
      </c>
      <c r="L30" s="12" t="s">
        <v>32</v>
      </c>
      <c r="M30" s="13">
        <v>1</v>
      </c>
      <c r="N30" s="12" t="s">
        <v>117</v>
      </c>
      <c r="O30" s="13">
        <v>1</v>
      </c>
      <c r="P30" s="12" t="s">
        <v>73</v>
      </c>
      <c r="Q30" s="13">
        <v>1</v>
      </c>
      <c r="R30" s="15"/>
      <c r="S30" s="5"/>
      <c r="T30" s="5"/>
      <c r="U30" s="5"/>
      <c r="V30" s="5"/>
      <c r="W30" s="5"/>
      <c r="X30" s="5"/>
    </row>
    <row r="31" spans="1:24" ht="15.75" thickBot="1" x14ac:dyDescent="0.3">
      <c r="A31" s="16">
        <v>46268.859837962962</v>
      </c>
      <c r="B31" s="17" t="s">
        <v>215</v>
      </c>
      <c r="C31" s="17" t="s">
        <v>216</v>
      </c>
      <c r="D31" s="17" t="s">
        <v>217</v>
      </c>
      <c r="E31" s="32">
        <v>10</v>
      </c>
      <c r="F31" s="3" t="s">
        <v>218</v>
      </c>
      <c r="G31" s="3" t="s">
        <v>219</v>
      </c>
      <c r="H31" s="17" t="s">
        <v>22</v>
      </c>
      <c r="I31" s="18">
        <v>1</v>
      </c>
      <c r="J31" s="19">
        <v>7547</v>
      </c>
      <c r="K31" s="20">
        <v>1</v>
      </c>
      <c r="L31" s="17" t="s">
        <v>32</v>
      </c>
      <c r="M31" s="18">
        <v>1</v>
      </c>
      <c r="N31" s="17" t="s">
        <v>220</v>
      </c>
      <c r="O31" s="18">
        <v>1</v>
      </c>
      <c r="P31" s="17" t="s">
        <v>34</v>
      </c>
      <c r="Q31" s="18">
        <v>1</v>
      </c>
      <c r="R31" s="21"/>
      <c r="S31" s="5"/>
      <c r="T31" s="5"/>
      <c r="U31" s="5"/>
      <c r="V31" s="5"/>
      <c r="W31" s="5"/>
      <c r="X31" s="5"/>
    </row>
    <row r="32" spans="1:24" ht="15.75" thickBot="1" x14ac:dyDescent="0.3">
      <c r="A32" s="11">
        <v>46268.859537037039</v>
      </c>
      <c r="B32" s="12" t="s">
        <v>221</v>
      </c>
      <c r="C32" s="12" t="s">
        <v>222</v>
      </c>
      <c r="D32" s="12" t="s">
        <v>223</v>
      </c>
      <c r="E32" s="31">
        <v>4</v>
      </c>
      <c r="F32" s="2" t="s">
        <v>224</v>
      </c>
      <c r="G32" s="2" t="s">
        <v>225</v>
      </c>
      <c r="H32" s="12" t="s">
        <v>226</v>
      </c>
      <c r="I32" s="13">
        <v>0</v>
      </c>
      <c r="J32" s="12" t="s">
        <v>227</v>
      </c>
      <c r="K32" s="14">
        <v>0</v>
      </c>
      <c r="L32" s="12" t="s">
        <v>32</v>
      </c>
      <c r="M32" s="13">
        <v>1</v>
      </c>
      <c r="N32" s="12" t="s">
        <v>228</v>
      </c>
      <c r="O32" s="13">
        <v>1</v>
      </c>
      <c r="P32" s="12" t="s">
        <v>81</v>
      </c>
      <c r="Q32" s="13">
        <v>0</v>
      </c>
      <c r="R32" s="15"/>
      <c r="S32" s="5"/>
      <c r="T32" s="5"/>
      <c r="U32" s="5"/>
      <c r="V32" s="5"/>
      <c r="W32" s="5"/>
      <c r="X32" s="5"/>
    </row>
    <row r="33" spans="1:24" ht="15.75" thickBot="1" x14ac:dyDescent="0.3">
      <c r="A33" s="16">
        <v>46268.857673611114</v>
      </c>
      <c r="B33" s="17" t="s">
        <v>229</v>
      </c>
      <c r="C33" s="17" t="s">
        <v>230</v>
      </c>
      <c r="D33" s="17" t="s">
        <v>231</v>
      </c>
      <c r="E33" s="32">
        <v>10</v>
      </c>
      <c r="F33" s="3" t="s">
        <v>232</v>
      </c>
      <c r="G33" s="3" t="s">
        <v>233</v>
      </c>
      <c r="H33" s="17" t="s">
        <v>234</v>
      </c>
      <c r="I33" s="18">
        <v>1</v>
      </c>
      <c r="J33" s="17" t="s">
        <v>235</v>
      </c>
      <c r="K33" s="20">
        <v>1</v>
      </c>
      <c r="L33" s="17" t="s">
        <v>236</v>
      </c>
      <c r="M33" s="18">
        <v>1</v>
      </c>
      <c r="N33" s="17" t="s">
        <v>237</v>
      </c>
      <c r="O33" s="18">
        <v>1</v>
      </c>
      <c r="P33" s="17" t="s">
        <v>238</v>
      </c>
      <c r="Q33" s="18">
        <v>1</v>
      </c>
      <c r="R33" s="21"/>
      <c r="S33" s="5"/>
      <c r="T33" s="5"/>
      <c r="U33" s="5"/>
      <c r="V33" s="5"/>
      <c r="W33" s="5"/>
      <c r="X33" s="5"/>
    </row>
    <row r="34" spans="1:24" ht="15.75" thickBot="1" x14ac:dyDescent="0.3">
      <c r="A34" s="11">
        <v>46268.764861111114</v>
      </c>
      <c r="B34" s="12" t="s">
        <v>239</v>
      </c>
      <c r="C34" s="12" t="s">
        <v>240</v>
      </c>
      <c r="D34" s="12" t="s">
        <v>241</v>
      </c>
      <c r="E34" s="31">
        <v>10</v>
      </c>
      <c r="F34" s="2" t="s">
        <v>242</v>
      </c>
      <c r="G34" s="2" t="s">
        <v>243</v>
      </c>
      <c r="H34" s="12" t="s">
        <v>22</v>
      </c>
      <c r="I34" s="13">
        <v>1</v>
      </c>
      <c r="J34" s="14">
        <v>748</v>
      </c>
      <c r="K34" s="14">
        <v>1</v>
      </c>
      <c r="L34" s="12" t="s">
        <v>32</v>
      </c>
      <c r="M34" s="13">
        <v>1</v>
      </c>
      <c r="N34" s="12" t="s">
        <v>244</v>
      </c>
      <c r="O34" s="13">
        <v>1</v>
      </c>
      <c r="P34" s="12" t="s">
        <v>26</v>
      </c>
      <c r="Q34" s="13">
        <v>1</v>
      </c>
      <c r="R34" s="15"/>
      <c r="S34" s="5"/>
      <c r="T34" s="5"/>
      <c r="U34" s="5"/>
      <c r="V34" s="5"/>
      <c r="W34" s="5"/>
      <c r="X34" s="5"/>
    </row>
    <row r="35" spans="1:24" ht="15.75" thickBot="1" x14ac:dyDescent="0.3">
      <c r="A35" s="16">
        <v>46268.763680555552</v>
      </c>
      <c r="B35" s="17" t="s">
        <v>245</v>
      </c>
      <c r="C35" s="17" t="s">
        <v>246</v>
      </c>
      <c r="D35" s="17" t="s">
        <v>247</v>
      </c>
      <c r="E35" s="32">
        <v>10</v>
      </c>
      <c r="F35" s="3" t="s">
        <v>248</v>
      </c>
      <c r="G35" s="3" t="s">
        <v>249</v>
      </c>
      <c r="H35" s="17" t="s">
        <v>22</v>
      </c>
      <c r="I35" s="18">
        <v>1</v>
      </c>
      <c r="J35" s="20">
        <v>748</v>
      </c>
      <c r="K35" s="20">
        <v>1</v>
      </c>
      <c r="L35" s="17" t="s">
        <v>32</v>
      </c>
      <c r="M35" s="18">
        <v>1</v>
      </c>
      <c r="N35" s="17" t="s">
        <v>72</v>
      </c>
      <c r="O35" s="18">
        <v>1</v>
      </c>
      <c r="P35" s="17" t="s">
        <v>26</v>
      </c>
      <c r="Q35" s="18">
        <v>1</v>
      </c>
      <c r="R35" s="21"/>
      <c r="S35" s="5"/>
      <c r="T35" s="5"/>
      <c r="U35" s="5"/>
      <c r="V35" s="5"/>
      <c r="W35" s="5"/>
      <c r="X35" s="5"/>
    </row>
    <row r="36" spans="1:24" ht="15.75" thickBot="1" x14ac:dyDescent="0.3">
      <c r="A36" s="11">
        <v>46268.848298611112</v>
      </c>
      <c r="B36" s="12" t="s">
        <v>250</v>
      </c>
      <c r="C36" s="12" t="s">
        <v>251</v>
      </c>
      <c r="D36" s="12" t="s">
        <v>252</v>
      </c>
      <c r="E36" s="31">
        <v>7</v>
      </c>
      <c r="F36" s="2" t="s">
        <v>253</v>
      </c>
      <c r="G36" s="2" t="s">
        <v>254</v>
      </c>
      <c r="H36" s="12" t="s">
        <v>255</v>
      </c>
      <c r="I36" s="13">
        <v>1</v>
      </c>
      <c r="J36" s="22">
        <v>7734</v>
      </c>
      <c r="K36" s="14">
        <v>1</v>
      </c>
      <c r="L36" s="12" t="s">
        <v>63</v>
      </c>
      <c r="M36" s="13">
        <v>0.5</v>
      </c>
      <c r="N36" s="12" t="s">
        <v>256</v>
      </c>
      <c r="O36" s="13">
        <v>0</v>
      </c>
      <c r="P36" s="12" t="s">
        <v>257</v>
      </c>
      <c r="Q36" s="13">
        <v>1</v>
      </c>
      <c r="R36" s="15"/>
      <c r="S36" s="5"/>
      <c r="T36" s="5"/>
      <c r="U36" s="5"/>
      <c r="V36" s="5"/>
      <c r="W36" s="5"/>
      <c r="X36" s="5"/>
    </row>
    <row r="37" spans="1:24" ht="15.75" thickBot="1" x14ac:dyDescent="0.3">
      <c r="A37" s="24">
        <v>46268.760011574072</v>
      </c>
      <c r="B37" s="25" t="s">
        <v>258</v>
      </c>
      <c r="C37" s="25" t="s">
        <v>259</v>
      </c>
      <c r="D37" s="25" t="s">
        <v>260</v>
      </c>
      <c r="E37" s="33">
        <v>6</v>
      </c>
      <c r="F37" s="4" t="s">
        <v>261</v>
      </c>
      <c r="G37" s="4" t="s">
        <v>262</v>
      </c>
      <c r="H37" s="25" t="s">
        <v>22</v>
      </c>
      <c r="I37" s="26">
        <v>1</v>
      </c>
      <c r="J37" s="27">
        <v>7854</v>
      </c>
      <c r="K37" s="28">
        <v>1</v>
      </c>
      <c r="L37" s="25" t="s">
        <v>263</v>
      </c>
      <c r="M37" s="26">
        <v>0</v>
      </c>
      <c r="N37" s="25" t="s">
        <v>264</v>
      </c>
      <c r="O37" s="26">
        <v>0</v>
      </c>
      <c r="P37" s="25" t="s">
        <v>111</v>
      </c>
      <c r="Q37" s="26">
        <v>1</v>
      </c>
      <c r="R37" s="29"/>
      <c r="S37" s="5"/>
      <c r="T37" s="5"/>
      <c r="U37" s="5"/>
      <c r="V37" s="5"/>
      <c r="W37" s="5"/>
      <c r="X37" s="5"/>
    </row>
    <row r="38" spans="1:24" ht="15.75" thickBot="1" x14ac:dyDescent="0.3">
      <c r="A38" s="5"/>
      <c r="B38" s="5"/>
      <c r="C38" s="5"/>
      <c r="D38" s="5"/>
      <c r="E38" s="34"/>
      <c r="F38" s="5"/>
      <c r="G38" s="5"/>
      <c r="H38" s="5"/>
      <c r="I38" s="5"/>
      <c r="J38" s="5"/>
      <c r="K38" s="5"/>
      <c r="L38" s="5"/>
      <c r="M38" s="5"/>
      <c r="N38" s="5"/>
      <c r="O38" s="5"/>
      <c r="P38" s="5"/>
      <c r="Q38" s="5"/>
      <c r="R38" s="5"/>
      <c r="S38" s="5"/>
      <c r="T38" s="5"/>
      <c r="U38" s="5"/>
      <c r="V38" s="5"/>
      <c r="W38" s="5"/>
      <c r="X38" s="5"/>
    </row>
    <row r="39" spans="1:24" ht="15.75" thickBot="1" x14ac:dyDescent="0.3">
      <c r="A39" s="5"/>
      <c r="B39" s="5"/>
      <c r="C39" s="5"/>
      <c r="D39" s="5"/>
      <c r="E39" s="34"/>
      <c r="F39" s="5"/>
      <c r="G39" s="5"/>
      <c r="H39" s="5"/>
      <c r="I39" s="5"/>
      <c r="J39" s="5"/>
      <c r="K39" s="5"/>
      <c r="L39" s="5"/>
      <c r="M39" s="5"/>
      <c r="N39" s="5"/>
      <c r="O39" s="5"/>
      <c r="P39" s="5"/>
      <c r="Q39" s="5"/>
      <c r="R39" s="5"/>
      <c r="S39" s="5"/>
      <c r="T39" s="5"/>
      <c r="U39" s="5"/>
      <c r="V39" s="5"/>
      <c r="W39" s="5"/>
      <c r="X39" s="5"/>
    </row>
    <row r="40" spans="1:24" ht="15.75" thickBot="1" x14ac:dyDescent="0.3">
      <c r="A40" s="5"/>
      <c r="B40" s="5"/>
      <c r="C40" s="5"/>
      <c r="D40" s="5"/>
      <c r="E40" s="34"/>
      <c r="F40" s="5"/>
      <c r="G40" s="5"/>
      <c r="H40" s="5"/>
      <c r="I40" s="5"/>
      <c r="J40" s="5"/>
      <c r="K40" s="5"/>
      <c r="L40" s="5"/>
      <c r="M40" s="5"/>
      <c r="N40" s="5"/>
      <c r="O40" s="5"/>
      <c r="P40" s="5"/>
      <c r="Q40" s="5"/>
      <c r="R40" s="5"/>
      <c r="S40" s="5"/>
      <c r="T40" s="5"/>
      <c r="U40" s="5"/>
      <c r="V40" s="5"/>
      <c r="W40" s="5"/>
      <c r="X40" s="5"/>
    </row>
    <row r="41" spans="1:24" ht="15.75" thickBot="1" x14ac:dyDescent="0.3">
      <c r="A41" s="5"/>
      <c r="B41" s="5"/>
      <c r="C41" s="5"/>
      <c r="D41" s="5"/>
      <c r="E41" s="34"/>
      <c r="F41" s="5"/>
      <c r="G41" s="5"/>
      <c r="H41" s="5"/>
      <c r="I41" s="5"/>
      <c r="J41" s="5"/>
      <c r="K41" s="5"/>
      <c r="L41" s="5"/>
      <c r="M41" s="5"/>
      <c r="N41" s="5"/>
      <c r="O41" s="5"/>
      <c r="P41" s="5"/>
      <c r="Q41" s="5"/>
      <c r="R41" s="5"/>
      <c r="S41" s="5"/>
      <c r="T41" s="5"/>
      <c r="U41" s="5"/>
      <c r="V41" s="5"/>
      <c r="W41" s="5"/>
      <c r="X41" s="5"/>
    </row>
    <row r="42" spans="1:24" ht="15.75" thickBot="1" x14ac:dyDescent="0.3">
      <c r="A42" s="5"/>
      <c r="B42" s="5"/>
      <c r="C42" s="5"/>
      <c r="D42" s="5"/>
      <c r="E42" s="34"/>
      <c r="F42" s="5"/>
      <c r="G42" s="5"/>
      <c r="H42" s="5"/>
      <c r="I42" s="5"/>
      <c r="J42" s="5"/>
      <c r="K42" s="5"/>
      <c r="L42" s="5"/>
      <c r="M42" s="5"/>
      <c r="N42" s="5"/>
      <c r="O42" s="5"/>
      <c r="P42" s="5"/>
      <c r="Q42" s="5"/>
      <c r="R42" s="5"/>
      <c r="S42" s="5"/>
      <c r="T42" s="5"/>
      <c r="U42" s="5"/>
      <c r="V42" s="5"/>
      <c r="W42" s="5"/>
      <c r="X42" s="5"/>
    </row>
    <row r="43" spans="1:24" ht="15.75" thickBot="1" x14ac:dyDescent="0.3">
      <c r="A43" s="5"/>
      <c r="B43" s="5"/>
      <c r="C43" s="5"/>
      <c r="D43" s="5"/>
      <c r="E43" s="34"/>
      <c r="F43" s="5"/>
      <c r="G43" s="5"/>
      <c r="H43" s="5"/>
      <c r="I43" s="5"/>
      <c r="J43" s="5"/>
      <c r="K43" s="5"/>
      <c r="L43" s="5"/>
      <c r="M43" s="5"/>
      <c r="N43" s="5"/>
      <c r="O43" s="5"/>
      <c r="P43" s="5"/>
      <c r="Q43" s="5"/>
      <c r="R43" s="5"/>
      <c r="S43" s="5"/>
      <c r="T43" s="5"/>
      <c r="U43" s="5"/>
      <c r="V43" s="5"/>
      <c r="W43" s="5"/>
      <c r="X43" s="5"/>
    </row>
    <row r="44" spans="1:24" ht="15.75" thickBot="1" x14ac:dyDescent="0.3">
      <c r="A44" s="5"/>
      <c r="B44" s="5"/>
      <c r="C44" s="5"/>
      <c r="D44" s="5"/>
      <c r="E44" s="34"/>
      <c r="F44" s="5"/>
      <c r="G44" s="5"/>
      <c r="H44" s="5"/>
      <c r="I44" s="5"/>
      <c r="J44" s="5"/>
      <c r="K44" s="5"/>
      <c r="L44" s="5"/>
      <c r="M44" s="5"/>
      <c r="N44" s="5"/>
      <c r="O44" s="5"/>
      <c r="P44" s="5"/>
      <c r="Q44" s="5"/>
      <c r="R44" s="5"/>
      <c r="S44" s="5"/>
      <c r="T44" s="5"/>
      <c r="U44" s="5"/>
      <c r="V44" s="5"/>
      <c r="W44" s="5"/>
      <c r="X44" s="5"/>
    </row>
    <row r="45" spans="1:24" ht="15.75" thickBot="1" x14ac:dyDescent="0.3">
      <c r="A45" s="5"/>
      <c r="B45" s="5"/>
      <c r="C45" s="5"/>
      <c r="D45" s="5"/>
      <c r="E45" s="34"/>
      <c r="F45" s="5"/>
      <c r="G45" s="5"/>
      <c r="H45" s="5"/>
      <c r="I45" s="5"/>
      <c r="J45" s="5"/>
      <c r="K45" s="5"/>
      <c r="L45" s="5"/>
      <c r="M45" s="5"/>
      <c r="N45" s="5"/>
      <c r="O45" s="5"/>
      <c r="P45" s="5"/>
      <c r="Q45" s="5"/>
      <c r="R45" s="5"/>
      <c r="S45" s="5"/>
      <c r="T45" s="5"/>
      <c r="U45" s="5"/>
      <c r="V45" s="5"/>
      <c r="W45" s="5"/>
      <c r="X45" s="5"/>
    </row>
    <row r="46" spans="1:24" ht="15.75" thickBot="1" x14ac:dyDescent="0.3">
      <c r="A46" s="5"/>
      <c r="B46" s="5"/>
      <c r="C46" s="5"/>
      <c r="D46" s="5"/>
      <c r="E46" s="34"/>
      <c r="F46" s="5"/>
      <c r="G46" s="5"/>
      <c r="H46" s="5"/>
      <c r="I46" s="5"/>
      <c r="J46" s="5"/>
      <c r="K46" s="5"/>
      <c r="L46" s="5"/>
      <c r="M46" s="5"/>
      <c r="N46" s="5"/>
      <c r="O46" s="5"/>
      <c r="P46" s="5"/>
      <c r="Q46" s="5"/>
      <c r="R46" s="5"/>
      <c r="S46" s="5"/>
      <c r="T46" s="5"/>
      <c r="U46" s="5"/>
      <c r="V46" s="5"/>
      <c r="W46" s="5"/>
      <c r="X46" s="5"/>
    </row>
    <row r="47" spans="1:24" ht="15.75" thickBot="1" x14ac:dyDescent="0.3">
      <c r="A47" s="5"/>
      <c r="B47" s="5"/>
      <c r="C47" s="5"/>
      <c r="D47" s="5"/>
      <c r="E47" s="34"/>
      <c r="F47" s="5"/>
      <c r="G47" s="5"/>
      <c r="H47" s="5"/>
      <c r="I47" s="5"/>
      <c r="J47" s="5"/>
      <c r="K47" s="5"/>
      <c r="L47" s="5"/>
      <c r="M47" s="5"/>
      <c r="N47" s="5"/>
      <c r="O47" s="5"/>
      <c r="P47" s="5"/>
      <c r="Q47" s="5"/>
      <c r="R47" s="5"/>
      <c r="S47" s="5"/>
      <c r="T47" s="5"/>
      <c r="U47" s="5"/>
      <c r="V47" s="5"/>
      <c r="W47" s="5"/>
      <c r="X47" s="5"/>
    </row>
    <row r="48" spans="1:24" ht="15.75" thickBot="1" x14ac:dyDescent="0.3">
      <c r="A48" s="5"/>
      <c r="B48" s="5"/>
      <c r="C48" s="5"/>
      <c r="D48" s="5"/>
      <c r="E48" s="34"/>
      <c r="F48" s="5"/>
      <c r="G48" s="5"/>
      <c r="H48" s="5"/>
      <c r="I48" s="5"/>
      <c r="J48" s="5"/>
      <c r="K48" s="5"/>
      <c r="L48" s="5"/>
      <c r="M48" s="5"/>
      <c r="N48" s="5"/>
      <c r="O48" s="5"/>
      <c r="P48" s="5"/>
      <c r="Q48" s="5"/>
      <c r="R48" s="5"/>
      <c r="S48" s="5"/>
      <c r="T48" s="5"/>
      <c r="U48" s="5"/>
      <c r="V48" s="5"/>
      <c r="W48" s="5"/>
      <c r="X48" s="5"/>
    </row>
    <row r="49" spans="1:24" ht="15.75" thickBot="1" x14ac:dyDescent="0.3">
      <c r="A49" s="5"/>
      <c r="B49" s="5"/>
      <c r="C49" s="5"/>
      <c r="D49" s="5"/>
      <c r="E49" s="34"/>
      <c r="F49" s="5"/>
      <c r="G49" s="5"/>
      <c r="H49" s="5"/>
      <c r="I49" s="5"/>
      <c r="J49" s="5"/>
      <c r="K49" s="5"/>
      <c r="L49" s="5"/>
      <c r="M49" s="5"/>
      <c r="N49" s="5"/>
      <c r="O49" s="5"/>
      <c r="P49" s="5"/>
      <c r="Q49" s="5"/>
      <c r="R49" s="5"/>
      <c r="S49" s="5"/>
      <c r="T49" s="5"/>
      <c r="U49" s="5"/>
      <c r="V49" s="5"/>
      <c r="W49" s="5"/>
      <c r="X49" s="5"/>
    </row>
    <row r="50" spans="1:24" ht="15.75" thickBot="1" x14ac:dyDescent="0.3">
      <c r="A50" s="5"/>
      <c r="B50" s="5"/>
      <c r="C50" s="5"/>
      <c r="D50" s="5"/>
      <c r="E50" s="34"/>
      <c r="F50" s="5"/>
      <c r="G50" s="5"/>
      <c r="H50" s="5"/>
      <c r="I50" s="5"/>
      <c r="J50" s="5"/>
      <c r="K50" s="5"/>
      <c r="L50" s="5"/>
      <c r="M50" s="5"/>
      <c r="N50" s="5"/>
      <c r="O50" s="5"/>
      <c r="P50" s="5"/>
      <c r="Q50" s="5"/>
      <c r="R50" s="5"/>
      <c r="S50" s="5"/>
      <c r="T50" s="5"/>
      <c r="U50" s="5"/>
      <c r="V50" s="5"/>
      <c r="W50" s="5"/>
      <c r="X50" s="5"/>
    </row>
    <row r="51" spans="1:24" ht="15.75" thickBot="1" x14ac:dyDescent="0.3">
      <c r="A51" s="5"/>
      <c r="B51" s="5"/>
      <c r="C51" s="5"/>
      <c r="D51" s="5"/>
      <c r="E51" s="34"/>
      <c r="F51" s="5"/>
      <c r="G51" s="5"/>
      <c r="H51" s="5"/>
      <c r="I51" s="5"/>
      <c r="J51" s="5"/>
      <c r="K51" s="5"/>
      <c r="L51" s="5"/>
      <c r="M51" s="5"/>
      <c r="N51" s="5"/>
      <c r="O51" s="5"/>
      <c r="P51" s="5"/>
      <c r="Q51" s="5"/>
      <c r="R51" s="5"/>
      <c r="S51" s="5"/>
      <c r="T51" s="5"/>
      <c r="U51" s="5"/>
      <c r="V51" s="5"/>
      <c r="W51" s="5"/>
      <c r="X51" s="5"/>
    </row>
    <row r="52" spans="1:24" ht="15.75" thickBot="1" x14ac:dyDescent="0.3">
      <c r="A52" s="5"/>
      <c r="B52" s="5"/>
      <c r="C52" s="5"/>
      <c r="D52" s="5"/>
      <c r="E52" s="34"/>
      <c r="F52" s="5"/>
      <c r="G52" s="5"/>
      <c r="H52" s="5"/>
      <c r="I52" s="5"/>
      <c r="J52" s="5"/>
      <c r="K52" s="5"/>
      <c r="L52" s="5"/>
      <c r="M52" s="5"/>
      <c r="N52" s="5"/>
      <c r="O52" s="5"/>
      <c r="P52" s="5"/>
      <c r="Q52" s="5"/>
      <c r="R52" s="5"/>
      <c r="S52" s="5"/>
      <c r="T52" s="5"/>
      <c r="U52" s="5"/>
      <c r="V52" s="5"/>
      <c r="W52" s="5"/>
      <c r="X52" s="5"/>
    </row>
    <row r="53" spans="1:24" ht="15.75" thickBot="1" x14ac:dyDescent="0.3">
      <c r="A53" s="5"/>
      <c r="B53" s="5"/>
      <c r="C53" s="5"/>
      <c r="D53" s="5"/>
      <c r="E53" s="34"/>
      <c r="F53" s="5"/>
      <c r="G53" s="5"/>
      <c r="H53" s="5"/>
      <c r="I53" s="5"/>
      <c r="J53" s="5"/>
      <c r="K53" s="5"/>
      <c r="L53" s="5"/>
      <c r="M53" s="5"/>
      <c r="N53" s="5"/>
      <c r="O53" s="5"/>
      <c r="P53" s="5"/>
      <c r="Q53" s="5"/>
      <c r="R53" s="5"/>
      <c r="S53" s="5"/>
      <c r="T53" s="5"/>
      <c r="U53" s="5"/>
      <c r="V53" s="5"/>
      <c r="W53" s="5"/>
      <c r="X53" s="5"/>
    </row>
    <row r="54" spans="1:24" ht="15.75" thickBot="1" x14ac:dyDescent="0.3">
      <c r="A54" s="5"/>
      <c r="B54" s="5"/>
      <c r="C54" s="5"/>
      <c r="D54" s="5"/>
      <c r="E54" s="34"/>
      <c r="F54" s="5"/>
      <c r="G54" s="5"/>
      <c r="H54" s="5"/>
      <c r="I54" s="5"/>
      <c r="J54" s="5"/>
      <c r="K54" s="5"/>
      <c r="L54" s="5"/>
      <c r="M54" s="5"/>
      <c r="N54" s="5"/>
      <c r="O54" s="5"/>
      <c r="P54" s="5"/>
      <c r="Q54" s="5"/>
      <c r="R54" s="5"/>
      <c r="S54" s="5"/>
      <c r="T54" s="5"/>
      <c r="U54" s="5"/>
      <c r="V54" s="5"/>
      <c r="W54" s="5"/>
      <c r="X54" s="5"/>
    </row>
    <row r="55" spans="1:24" ht="15.75" thickBot="1" x14ac:dyDescent="0.3">
      <c r="A55" s="5"/>
      <c r="B55" s="5"/>
      <c r="C55" s="5"/>
      <c r="D55" s="5"/>
      <c r="E55" s="34"/>
      <c r="F55" s="5"/>
      <c r="G55" s="5"/>
      <c r="H55" s="5"/>
      <c r="I55" s="5"/>
      <c r="J55" s="5"/>
      <c r="K55" s="5"/>
      <c r="L55" s="5"/>
      <c r="M55" s="5"/>
      <c r="N55" s="5"/>
      <c r="O55" s="5"/>
      <c r="P55" s="5"/>
      <c r="Q55" s="5"/>
      <c r="R55" s="5"/>
      <c r="S55" s="5"/>
      <c r="T55" s="5"/>
      <c r="U55" s="5"/>
      <c r="V55" s="5"/>
      <c r="W55" s="5"/>
      <c r="X55" s="5"/>
    </row>
    <row r="56" spans="1:24" ht="15.75" thickBot="1" x14ac:dyDescent="0.3">
      <c r="A56" s="5"/>
      <c r="B56" s="5"/>
      <c r="C56" s="5"/>
      <c r="D56" s="5"/>
      <c r="E56" s="34"/>
      <c r="F56" s="5"/>
      <c r="G56" s="5"/>
      <c r="H56" s="5"/>
      <c r="I56" s="5"/>
      <c r="J56" s="5"/>
      <c r="K56" s="5"/>
      <c r="L56" s="5"/>
      <c r="M56" s="5"/>
      <c r="N56" s="5"/>
      <c r="O56" s="5"/>
      <c r="P56" s="5"/>
      <c r="Q56" s="5"/>
      <c r="R56" s="5"/>
      <c r="S56" s="5"/>
      <c r="T56" s="5"/>
      <c r="U56" s="5"/>
      <c r="V56" s="5"/>
      <c r="W56" s="5"/>
      <c r="X56" s="5"/>
    </row>
    <row r="57" spans="1:24" ht="15.75" thickBot="1" x14ac:dyDescent="0.3">
      <c r="A57" s="5"/>
      <c r="B57" s="5"/>
      <c r="C57" s="5"/>
      <c r="D57" s="5"/>
      <c r="E57" s="34"/>
      <c r="F57" s="5"/>
      <c r="G57" s="5"/>
      <c r="H57" s="5"/>
      <c r="I57" s="5"/>
      <c r="J57" s="5"/>
      <c r="K57" s="5"/>
      <c r="L57" s="5"/>
      <c r="M57" s="5"/>
      <c r="N57" s="5"/>
      <c r="O57" s="5"/>
      <c r="P57" s="5"/>
      <c r="Q57" s="5"/>
      <c r="R57" s="5"/>
      <c r="S57" s="5"/>
      <c r="T57" s="5"/>
      <c r="U57" s="5"/>
      <c r="V57" s="5"/>
      <c r="W57" s="5"/>
      <c r="X57" s="5"/>
    </row>
    <row r="58" spans="1:24" ht="15.75" thickBot="1" x14ac:dyDescent="0.3">
      <c r="A58" s="5"/>
      <c r="B58" s="5"/>
      <c r="C58" s="5"/>
      <c r="D58" s="5"/>
      <c r="E58" s="34"/>
      <c r="F58" s="5"/>
      <c r="G58" s="5"/>
      <c r="H58" s="5"/>
      <c r="I58" s="5"/>
      <c r="J58" s="5"/>
      <c r="K58" s="5"/>
      <c r="L58" s="5"/>
      <c r="M58" s="5"/>
      <c r="N58" s="5"/>
      <c r="O58" s="5"/>
      <c r="P58" s="5"/>
      <c r="Q58" s="5"/>
      <c r="R58" s="5"/>
      <c r="S58" s="5"/>
      <c r="T58" s="5"/>
      <c r="U58" s="5"/>
      <c r="V58" s="5"/>
      <c r="W58" s="5"/>
      <c r="X58" s="5"/>
    </row>
    <row r="59" spans="1:24" ht="15.75" thickBot="1" x14ac:dyDescent="0.3">
      <c r="A59" s="5"/>
      <c r="B59" s="5"/>
      <c r="C59" s="5"/>
      <c r="D59" s="5"/>
      <c r="E59" s="34"/>
      <c r="F59" s="5"/>
      <c r="G59" s="5"/>
      <c r="H59" s="5"/>
      <c r="I59" s="5"/>
      <c r="J59" s="5"/>
      <c r="K59" s="5"/>
      <c r="L59" s="5"/>
      <c r="M59" s="5"/>
      <c r="N59" s="5"/>
      <c r="O59" s="5"/>
      <c r="P59" s="5"/>
      <c r="Q59" s="5"/>
      <c r="R59" s="5"/>
      <c r="S59" s="5"/>
      <c r="T59" s="5"/>
      <c r="U59" s="5"/>
      <c r="V59" s="5"/>
      <c r="W59" s="5"/>
      <c r="X59" s="5"/>
    </row>
    <row r="60" spans="1:24" ht="15.75" thickBot="1" x14ac:dyDescent="0.3">
      <c r="A60" s="5"/>
      <c r="B60" s="5"/>
      <c r="C60" s="5"/>
      <c r="D60" s="5"/>
      <c r="E60" s="34"/>
      <c r="F60" s="5"/>
      <c r="G60" s="5"/>
      <c r="H60" s="5"/>
      <c r="I60" s="5"/>
      <c r="J60" s="5"/>
      <c r="K60" s="5"/>
      <c r="L60" s="5"/>
      <c r="M60" s="5"/>
      <c r="N60" s="5"/>
      <c r="O60" s="5"/>
      <c r="P60" s="5"/>
      <c r="Q60" s="5"/>
      <c r="R60" s="5"/>
      <c r="S60" s="5"/>
      <c r="T60" s="5"/>
      <c r="U60" s="5"/>
      <c r="V60" s="5"/>
      <c r="W60" s="5"/>
      <c r="X60" s="5"/>
    </row>
    <row r="61" spans="1:24" ht="15.75" thickBot="1" x14ac:dyDescent="0.3">
      <c r="A61" s="5"/>
      <c r="B61" s="5"/>
      <c r="C61" s="5"/>
      <c r="D61" s="5"/>
      <c r="E61" s="34"/>
      <c r="F61" s="5"/>
      <c r="G61" s="5"/>
      <c r="H61" s="5"/>
      <c r="I61" s="5"/>
      <c r="J61" s="5"/>
      <c r="K61" s="5"/>
      <c r="L61" s="5"/>
      <c r="M61" s="5"/>
      <c r="N61" s="5"/>
      <c r="O61" s="5"/>
      <c r="P61" s="5"/>
      <c r="Q61" s="5"/>
      <c r="R61" s="5"/>
      <c r="S61" s="5"/>
      <c r="T61" s="5"/>
      <c r="U61" s="5"/>
      <c r="V61" s="5"/>
      <c r="W61" s="5"/>
      <c r="X61" s="5"/>
    </row>
    <row r="62" spans="1:24" ht="15.75" thickBot="1" x14ac:dyDescent="0.3">
      <c r="A62" s="5"/>
      <c r="B62" s="5"/>
      <c r="C62" s="5"/>
      <c r="D62" s="5"/>
      <c r="E62" s="34"/>
      <c r="F62" s="5"/>
      <c r="G62" s="5"/>
      <c r="H62" s="5"/>
      <c r="I62" s="5"/>
      <c r="J62" s="5"/>
      <c r="K62" s="5"/>
      <c r="L62" s="5"/>
      <c r="M62" s="5"/>
      <c r="N62" s="5"/>
      <c r="O62" s="5"/>
      <c r="P62" s="5"/>
      <c r="Q62" s="5"/>
      <c r="R62" s="5"/>
      <c r="S62" s="5"/>
      <c r="T62" s="5"/>
      <c r="U62" s="5"/>
      <c r="V62" s="5"/>
      <c r="W62" s="5"/>
      <c r="X62" s="5"/>
    </row>
    <row r="63" spans="1:24" ht="15.75" thickBot="1" x14ac:dyDescent="0.3">
      <c r="A63" s="5"/>
      <c r="B63" s="5"/>
      <c r="C63" s="5"/>
      <c r="D63" s="5"/>
      <c r="E63" s="34"/>
      <c r="F63" s="5"/>
      <c r="G63" s="5"/>
      <c r="H63" s="5"/>
      <c r="I63" s="5"/>
      <c r="J63" s="5"/>
      <c r="K63" s="5"/>
      <c r="L63" s="5"/>
      <c r="M63" s="5"/>
      <c r="N63" s="5"/>
      <c r="O63" s="5"/>
      <c r="P63" s="5"/>
      <c r="Q63" s="5"/>
      <c r="R63" s="5"/>
      <c r="S63" s="5"/>
      <c r="T63" s="5"/>
      <c r="U63" s="5"/>
      <c r="V63" s="5"/>
      <c r="W63" s="5"/>
      <c r="X63" s="5"/>
    </row>
    <row r="64" spans="1:24" ht="15.75" thickBot="1" x14ac:dyDescent="0.3">
      <c r="A64" s="5"/>
      <c r="B64" s="5"/>
      <c r="C64" s="5"/>
      <c r="D64" s="5"/>
      <c r="E64" s="34"/>
      <c r="F64" s="5"/>
      <c r="G64" s="5"/>
      <c r="H64" s="5"/>
      <c r="I64" s="5"/>
      <c r="J64" s="5"/>
      <c r="K64" s="5"/>
      <c r="L64" s="5"/>
      <c r="M64" s="5"/>
      <c r="N64" s="5"/>
      <c r="O64" s="5"/>
      <c r="P64" s="5"/>
      <c r="Q64" s="5"/>
      <c r="R64" s="5"/>
      <c r="S64" s="5"/>
      <c r="T64" s="5"/>
      <c r="U64" s="5"/>
      <c r="V64" s="5"/>
      <c r="W64" s="5"/>
      <c r="X64" s="5"/>
    </row>
    <row r="65" spans="1:24" ht="15.75" thickBot="1" x14ac:dyDescent="0.3">
      <c r="A65" s="5"/>
      <c r="B65" s="5"/>
      <c r="C65" s="5"/>
      <c r="D65" s="5"/>
      <c r="E65" s="34"/>
      <c r="F65" s="5"/>
      <c r="G65" s="5"/>
      <c r="H65" s="5"/>
      <c r="I65" s="5"/>
      <c r="J65" s="5"/>
      <c r="K65" s="5"/>
      <c r="L65" s="5"/>
      <c r="M65" s="5"/>
      <c r="N65" s="5"/>
      <c r="O65" s="5"/>
      <c r="P65" s="5"/>
      <c r="Q65" s="5"/>
      <c r="R65" s="5"/>
      <c r="S65" s="5"/>
      <c r="T65" s="5"/>
      <c r="U65" s="5"/>
      <c r="V65" s="5"/>
      <c r="W65" s="5"/>
      <c r="X65" s="5"/>
    </row>
    <row r="66" spans="1:24" ht="15.75" thickBot="1" x14ac:dyDescent="0.3">
      <c r="A66" s="5"/>
      <c r="B66" s="5"/>
      <c r="C66" s="5"/>
      <c r="D66" s="5"/>
      <c r="E66" s="34"/>
      <c r="F66" s="5"/>
      <c r="G66" s="5"/>
      <c r="H66" s="5"/>
      <c r="I66" s="5"/>
      <c r="J66" s="5"/>
      <c r="K66" s="5"/>
      <c r="L66" s="5"/>
      <c r="M66" s="5"/>
      <c r="N66" s="5"/>
      <c r="O66" s="5"/>
      <c r="P66" s="5"/>
      <c r="Q66" s="5"/>
      <c r="R66" s="5"/>
      <c r="S66" s="5"/>
      <c r="T66" s="5"/>
      <c r="U66" s="5"/>
      <c r="V66" s="5"/>
      <c r="W66" s="5"/>
      <c r="X66" s="5"/>
    </row>
    <row r="67" spans="1:24" ht="15.75" thickBot="1" x14ac:dyDescent="0.3">
      <c r="A67" s="5"/>
      <c r="B67" s="5"/>
      <c r="C67" s="5"/>
      <c r="D67" s="5"/>
      <c r="E67" s="34"/>
      <c r="F67" s="5"/>
      <c r="G67" s="5"/>
      <c r="H67" s="5"/>
      <c r="I67" s="5"/>
      <c r="J67" s="5"/>
      <c r="K67" s="5"/>
      <c r="L67" s="5"/>
      <c r="M67" s="5"/>
      <c r="N67" s="5"/>
      <c r="O67" s="5"/>
      <c r="P67" s="5"/>
      <c r="Q67" s="5"/>
      <c r="R67" s="5"/>
      <c r="S67" s="5"/>
      <c r="T67" s="5"/>
      <c r="U67" s="5"/>
      <c r="V67" s="5"/>
      <c r="W67" s="5"/>
      <c r="X67" s="5"/>
    </row>
    <row r="68" spans="1:24" ht="15.75" thickBot="1" x14ac:dyDescent="0.3">
      <c r="A68" s="5"/>
      <c r="B68" s="5"/>
      <c r="C68" s="5"/>
      <c r="D68" s="5"/>
      <c r="E68" s="34"/>
      <c r="F68" s="5"/>
      <c r="G68" s="5"/>
      <c r="H68" s="5"/>
      <c r="I68" s="5"/>
      <c r="J68" s="5"/>
      <c r="K68" s="5"/>
      <c r="L68" s="5"/>
      <c r="M68" s="5"/>
      <c r="N68" s="5"/>
      <c r="O68" s="5"/>
      <c r="P68" s="5"/>
      <c r="Q68" s="5"/>
      <c r="R68" s="5"/>
      <c r="S68" s="5"/>
      <c r="T68" s="5"/>
      <c r="U68" s="5"/>
      <c r="V68" s="5"/>
      <c r="W68" s="5"/>
      <c r="X68" s="5"/>
    </row>
    <row r="69" spans="1:24" ht="15.75" thickBot="1" x14ac:dyDescent="0.3">
      <c r="A69" s="5"/>
      <c r="B69" s="5"/>
      <c r="C69" s="5"/>
      <c r="D69" s="5"/>
      <c r="E69" s="34"/>
      <c r="F69" s="5"/>
      <c r="G69" s="5"/>
      <c r="H69" s="5"/>
      <c r="I69" s="5"/>
      <c r="J69" s="5"/>
      <c r="K69" s="5"/>
      <c r="L69" s="5"/>
      <c r="M69" s="5"/>
      <c r="N69" s="5"/>
      <c r="O69" s="5"/>
      <c r="P69" s="5"/>
      <c r="Q69" s="5"/>
      <c r="R69" s="5"/>
      <c r="S69" s="5"/>
      <c r="T69" s="5"/>
      <c r="U69" s="5"/>
      <c r="V69" s="5"/>
      <c r="W69" s="5"/>
      <c r="X69" s="5"/>
    </row>
    <row r="70" spans="1:24" ht="15.75" thickBot="1" x14ac:dyDescent="0.3">
      <c r="A70" s="5"/>
      <c r="B70" s="5"/>
      <c r="C70" s="5"/>
      <c r="D70" s="5"/>
      <c r="E70" s="34"/>
      <c r="F70" s="5"/>
      <c r="G70" s="5"/>
      <c r="H70" s="5"/>
      <c r="I70" s="5"/>
      <c r="J70" s="5"/>
      <c r="K70" s="5"/>
      <c r="L70" s="5"/>
      <c r="M70" s="5"/>
      <c r="N70" s="5"/>
      <c r="O70" s="5"/>
      <c r="P70" s="5"/>
      <c r="Q70" s="5"/>
      <c r="R70" s="5"/>
      <c r="S70" s="5"/>
      <c r="T70" s="5"/>
      <c r="U70" s="5"/>
      <c r="V70" s="5"/>
      <c r="W70" s="5"/>
      <c r="X70" s="5"/>
    </row>
    <row r="71" spans="1:24" ht="15.75" thickBot="1" x14ac:dyDescent="0.3">
      <c r="A71" s="5"/>
      <c r="B71" s="5"/>
      <c r="C71" s="5"/>
      <c r="D71" s="5"/>
      <c r="E71" s="34"/>
      <c r="F71" s="5"/>
      <c r="G71" s="5"/>
      <c r="H71" s="5"/>
      <c r="I71" s="5"/>
      <c r="J71" s="5"/>
      <c r="K71" s="5"/>
      <c r="L71" s="5"/>
      <c r="M71" s="5"/>
      <c r="N71" s="5"/>
      <c r="O71" s="5"/>
      <c r="P71" s="5"/>
      <c r="Q71" s="5"/>
      <c r="R71" s="5"/>
      <c r="S71" s="5"/>
      <c r="T71" s="5"/>
      <c r="U71" s="5"/>
      <c r="V71" s="5"/>
      <c r="W71" s="5"/>
      <c r="X71" s="5"/>
    </row>
    <row r="72" spans="1:24" ht="15.75" thickBot="1" x14ac:dyDescent="0.3">
      <c r="A72" s="5"/>
      <c r="B72" s="5"/>
      <c r="C72" s="5"/>
      <c r="D72" s="5"/>
      <c r="E72" s="34"/>
      <c r="F72" s="5"/>
      <c r="G72" s="5"/>
      <c r="H72" s="5"/>
      <c r="I72" s="5"/>
      <c r="J72" s="5"/>
      <c r="K72" s="5"/>
      <c r="L72" s="5"/>
      <c r="M72" s="5"/>
      <c r="N72" s="5"/>
      <c r="O72" s="5"/>
      <c r="P72" s="5"/>
      <c r="Q72" s="5"/>
      <c r="R72" s="5"/>
      <c r="S72" s="5"/>
      <c r="T72" s="5"/>
      <c r="U72" s="5"/>
      <c r="V72" s="5"/>
      <c r="W72" s="5"/>
      <c r="X72" s="5"/>
    </row>
    <row r="73" spans="1:24" ht="15.75" thickBot="1" x14ac:dyDescent="0.3">
      <c r="A73" s="5"/>
      <c r="B73" s="5"/>
      <c r="C73" s="5"/>
      <c r="D73" s="5"/>
      <c r="E73" s="34"/>
      <c r="F73" s="5"/>
      <c r="G73" s="5"/>
      <c r="H73" s="5"/>
      <c r="I73" s="5"/>
      <c r="J73" s="5"/>
      <c r="K73" s="5"/>
      <c r="L73" s="5"/>
      <c r="M73" s="5"/>
      <c r="N73" s="5"/>
      <c r="O73" s="5"/>
      <c r="P73" s="5"/>
      <c r="Q73" s="5"/>
      <c r="R73" s="5"/>
      <c r="S73" s="5"/>
      <c r="T73" s="5"/>
      <c r="U73" s="5"/>
      <c r="V73" s="5"/>
      <c r="W73" s="5"/>
      <c r="X73" s="5"/>
    </row>
    <row r="74" spans="1:24" ht="15.75" thickBot="1" x14ac:dyDescent="0.3">
      <c r="A74" s="5"/>
      <c r="B74" s="5"/>
      <c r="C74" s="5"/>
      <c r="D74" s="5"/>
      <c r="E74" s="34"/>
      <c r="F74" s="5"/>
      <c r="G74" s="5"/>
      <c r="H74" s="5"/>
      <c r="I74" s="5"/>
      <c r="J74" s="5"/>
      <c r="K74" s="5"/>
      <c r="L74" s="5"/>
      <c r="M74" s="5"/>
      <c r="N74" s="5"/>
      <c r="O74" s="5"/>
      <c r="P74" s="5"/>
      <c r="Q74" s="5"/>
      <c r="R74" s="5"/>
      <c r="S74" s="5"/>
      <c r="T74" s="5"/>
      <c r="U74" s="5"/>
      <c r="V74" s="5"/>
      <c r="W74" s="5"/>
      <c r="X74" s="5"/>
    </row>
    <row r="75" spans="1:24" ht="15.75" thickBot="1" x14ac:dyDescent="0.3">
      <c r="A75" s="5"/>
      <c r="B75" s="5"/>
      <c r="C75" s="5"/>
      <c r="D75" s="5"/>
      <c r="E75" s="34"/>
      <c r="F75" s="5"/>
      <c r="G75" s="5"/>
      <c r="H75" s="5"/>
      <c r="I75" s="5"/>
      <c r="J75" s="5"/>
      <c r="K75" s="5"/>
      <c r="L75" s="5"/>
      <c r="M75" s="5"/>
      <c r="N75" s="5"/>
      <c r="O75" s="5"/>
      <c r="P75" s="5"/>
      <c r="Q75" s="5"/>
      <c r="R75" s="5"/>
      <c r="S75" s="5"/>
      <c r="T75" s="5"/>
      <c r="U75" s="5"/>
      <c r="V75" s="5"/>
      <c r="W75" s="5"/>
      <c r="X75" s="5"/>
    </row>
    <row r="76" spans="1:24" ht="15.75" thickBot="1" x14ac:dyDescent="0.3">
      <c r="A76" s="5"/>
      <c r="B76" s="5"/>
      <c r="C76" s="5"/>
      <c r="D76" s="5"/>
      <c r="E76" s="34"/>
      <c r="F76" s="5"/>
      <c r="G76" s="5"/>
      <c r="H76" s="5"/>
      <c r="I76" s="5"/>
      <c r="J76" s="5"/>
      <c r="K76" s="5"/>
      <c r="L76" s="5"/>
      <c r="M76" s="5"/>
      <c r="N76" s="5"/>
      <c r="O76" s="5"/>
      <c r="P76" s="5"/>
      <c r="Q76" s="5"/>
      <c r="R76" s="5"/>
      <c r="S76" s="5"/>
      <c r="T76" s="5"/>
      <c r="U76" s="5"/>
      <c r="V76" s="5"/>
      <c r="W76" s="5"/>
      <c r="X76" s="5"/>
    </row>
    <row r="77" spans="1:24" ht="15.75" thickBot="1" x14ac:dyDescent="0.3">
      <c r="A77" s="5"/>
      <c r="B77" s="5"/>
      <c r="C77" s="5"/>
      <c r="D77" s="5"/>
      <c r="E77" s="34"/>
      <c r="F77" s="5"/>
      <c r="G77" s="5"/>
      <c r="H77" s="5"/>
      <c r="I77" s="5"/>
      <c r="J77" s="5"/>
      <c r="K77" s="5"/>
      <c r="L77" s="5"/>
      <c r="M77" s="5"/>
      <c r="N77" s="5"/>
      <c r="O77" s="5"/>
      <c r="P77" s="5"/>
      <c r="Q77" s="5"/>
      <c r="R77" s="5"/>
      <c r="S77" s="5"/>
      <c r="T77" s="5"/>
      <c r="U77" s="5"/>
      <c r="V77" s="5"/>
      <c r="W77" s="5"/>
      <c r="X77" s="5"/>
    </row>
    <row r="78" spans="1:24" ht="15.75" thickBot="1" x14ac:dyDescent="0.3">
      <c r="A78" s="5"/>
      <c r="B78" s="5"/>
      <c r="C78" s="5"/>
      <c r="D78" s="5"/>
      <c r="E78" s="34"/>
      <c r="F78" s="5"/>
      <c r="G78" s="5"/>
      <c r="H78" s="5"/>
      <c r="I78" s="5"/>
      <c r="J78" s="5"/>
      <c r="K78" s="5"/>
      <c r="L78" s="5"/>
      <c r="M78" s="5"/>
      <c r="N78" s="5"/>
      <c r="O78" s="5"/>
      <c r="P78" s="5"/>
      <c r="Q78" s="5"/>
      <c r="R78" s="5"/>
      <c r="S78" s="5"/>
      <c r="T78" s="5"/>
      <c r="U78" s="5"/>
      <c r="V78" s="5"/>
      <c r="W78" s="5"/>
      <c r="X78" s="5"/>
    </row>
    <row r="79" spans="1:24" ht="15.75" thickBot="1" x14ac:dyDescent="0.3">
      <c r="A79" s="5"/>
      <c r="B79" s="5"/>
      <c r="C79" s="5"/>
      <c r="D79" s="5"/>
      <c r="E79" s="34"/>
      <c r="F79" s="5"/>
      <c r="G79" s="5"/>
      <c r="H79" s="5"/>
      <c r="I79" s="5"/>
      <c r="J79" s="5"/>
      <c r="K79" s="5"/>
      <c r="L79" s="5"/>
      <c r="M79" s="5"/>
      <c r="N79" s="5"/>
      <c r="O79" s="5"/>
      <c r="P79" s="5"/>
      <c r="Q79" s="5"/>
      <c r="R79" s="5"/>
      <c r="S79" s="5"/>
      <c r="T79" s="5"/>
      <c r="U79" s="5"/>
      <c r="V79" s="5"/>
      <c r="W79" s="5"/>
      <c r="X79" s="5"/>
    </row>
    <row r="80" spans="1:24" ht="15.75" thickBot="1" x14ac:dyDescent="0.3">
      <c r="A80" s="5"/>
      <c r="B80" s="5"/>
      <c r="C80" s="5"/>
      <c r="D80" s="5"/>
      <c r="E80" s="34"/>
      <c r="F80" s="5"/>
      <c r="G80" s="5"/>
      <c r="H80" s="5"/>
      <c r="I80" s="5"/>
      <c r="J80" s="5"/>
      <c r="K80" s="5"/>
      <c r="L80" s="5"/>
      <c r="M80" s="5"/>
      <c r="N80" s="5"/>
      <c r="O80" s="5"/>
      <c r="P80" s="5"/>
      <c r="Q80" s="5"/>
      <c r="R80" s="5"/>
      <c r="S80" s="5"/>
      <c r="T80" s="5"/>
      <c r="U80" s="5"/>
      <c r="V80" s="5"/>
      <c r="W80" s="5"/>
      <c r="X80" s="5"/>
    </row>
    <row r="81" spans="1:24" ht="15.75" thickBot="1" x14ac:dyDescent="0.3">
      <c r="A81" s="5"/>
      <c r="B81" s="5"/>
      <c r="C81" s="5"/>
      <c r="D81" s="5"/>
      <c r="E81" s="34"/>
      <c r="F81" s="5"/>
      <c r="G81" s="5"/>
      <c r="H81" s="5"/>
      <c r="I81" s="5"/>
      <c r="J81" s="5"/>
      <c r="K81" s="5"/>
      <c r="L81" s="5"/>
      <c r="M81" s="5"/>
      <c r="N81" s="5"/>
      <c r="O81" s="5"/>
      <c r="P81" s="5"/>
      <c r="Q81" s="5"/>
      <c r="R81" s="5"/>
      <c r="S81" s="5"/>
      <c r="T81" s="5"/>
      <c r="U81" s="5"/>
      <c r="V81" s="5"/>
      <c r="W81" s="5"/>
      <c r="X81" s="5"/>
    </row>
    <row r="82" spans="1:24" ht="15.75" thickBot="1" x14ac:dyDescent="0.3">
      <c r="A82" s="5"/>
      <c r="B82" s="5"/>
      <c r="C82" s="5"/>
      <c r="D82" s="5"/>
      <c r="E82" s="34"/>
      <c r="F82" s="5"/>
      <c r="G82" s="5"/>
      <c r="H82" s="5"/>
      <c r="I82" s="5"/>
      <c r="J82" s="5"/>
      <c r="K82" s="5"/>
      <c r="L82" s="5"/>
      <c r="M82" s="5"/>
      <c r="N82" s="5"/>
      <c r="O82" s="5"/>
      <c r="P82" s="5"/>
      <c r="Q82" s="5"/>
      <c r="R82" s="5"/>
      <c r="S82" s="5"/>
      <c r="T82" s="5"/>
      <c r="U82" s="5"/>
      <c r="V82" s="5"/>
      <c r="W82" s="5"/>
      <c r="X82" s="5"/>
    </row>
    <row r="83" spans="1:24" ht="15.75" thickBot="1" x14ac:dyDescent="0.3">
      <c r="A83" s="5"/>
      <c r="B83" s="5"/>
      <c r="C83" s="5"/>
      <c r="D83" s="5"/>
      <c r="E83" s="34"/>
      <c r="F83" s="5"/>
      <c r="G83" s="5"/>
      <c r="H83" s="5"/>
      <c r="I83" s="5"/>
      <c r="J83" s="5"/>
      <c r="K83" s="5"/>
      <c r="L83" s="5"/>
      <c r="M83" s="5"/>
      <c r="N83" s="5"/>
      <c r="O83" s="5"/>
      <c r="P83" s="5"/>
      <c r="Q83" s="5"/>
      <c r="R83" s="5"/>
      <c r="S83" s="5"/>
      <c r="T83" s="5"/>
      <c r="U83" s="5"/>
      <c r="V83" s="5"/>
      <c r="W83" s="5"/>
      <c r="X83" s="5"/>
    </row>
    <row r="84" spans="1:24" ht="15.75" thickBot="1" x14ac:dyDescent="0.3">
      <c r="A84" s="5"/>
      <c r="B84" s="5"/>
      <c r="C84" s="5"/>
      <c r="D84" s="5"/>
      <c r="E84" s="34"/>
      <c r="F84" s="5"/>
      <c r="G84" s="5"/>
      <c r="H84" s="5"/>
      <c r="I84" s="5"/>
      <c r="J84" s="5"/>
      <c r="K84" s="5"/>
      <c r="L84" s="5"/>
      <c r="M84" s="5"/>
      <c r="N84" s="5"/>
      <c r="O84" s="5"/>
      <c r="P84" s="5"/>
      <c r="Q84" s="5"/>
      <c r="R84" s="5"/>
      <c r="S84" s="5"/>
      <c r="T84" s="5"/>
      <c r="U84" s="5"/>
      <c r="V84" s="5"/>
      <c r="W84" s="5"/>
      <c r="X84" s="5"/>
    </row>
    <row r="85" spans="1:24" ht="15.75" thickBot="1" x14ac:dyDescent="0.3">
      <c r="A85" s="5"/>
      <c r="B85" s="5"/>
      <c r="C85" s="5"/>
      <c r="D85" s="5"/>
      <c r="E85" s="34"/>
      <c r="F85" s="5"/>
      <c r="G85" s="5"/>
      <c r="H85" s="5"/>
      <c r="I85" s="5"/>
      <c r="J85" s="5"/>
      <c r="K85" s="5"/>
      <c r="L85" s="5"/>
      <c r="M85" s="5"/>
      <c r="N85" s="5"/>
      <c r="O85" s="5"/>
      <c r="P85" s="5"/>
      <c r="Q85" s="5"/>
      <c r="R85" s="5"/>
      <c r="S85" s="5"/>
      <c r="T85" s="5"/>
      <c r="U85" s="5"/>
      <c r="V85" s="5"/>
      <c r="W85" s="5"/>
      <c r="X85" s="5"/>
    </row>
    <row r="86" spans="1:24" ht="15.75" thickBot="1" x14ac:dyDescent="0.3">
      <c r="A86" s="5"/>
      <c r="B86" s="5"/>
      <c r="C86" s="5"/>
      <c r="D86" s="5"/>
      <c r="E86" s="34"/>
      <c r="F86" s="5"/>
      <c r="G86" s="5"/>
      <c r="H86" s="5"/>
      <c r="I86" s="5"/>
      <c r="J86" s="5"/>
      <c r="K86" s="5"/>
      <c r="L86" s="5"/>
      <c r="M86" s="5"/>
      <c r="N86" s="5"/>
      <c r="O86" s="5"/>
      <c r="P86" s="5"/>
      <c r="Q86" s="5"/>
      <c r="R86" s="5"/>
      <c r="S86" s="5"/>
      <c r="T86" s="5"/>
      <c r="U86" s="5"/>
      <c r="V86" s="5"/>
      <c r="W86" s="5"/>
      <c r="X86" s="5"/>
    </row>
    <row r="87" spans="1:24" ht="15.75" thickBot="1" x14ac:dyDescent="0.3">
      <c r="A87" s="5"/>
      <c r="B87" s="5"/>
      <c r="C87" s="5"/>
      <c r="D87" s="5"/>
      <c r="E87" s="34"/>
      <c r="F87" s="5"/>
      <c r="G87" s="5"/>
      <c r="H87" s="5"/>
      <c r="I87" s="5"/>
      <c r="J87" s="5"/>
      <c r="K87" s="5"/>
      <c r="L87" s="5"/>
      <c r="M87" s="5"/>
      <c r="N87" s="5"/>
      <c r="O87" s="5"/>
      <c r="P87" s="5"/>
      <c r="Q87" s="5"/>
      <c r="R87" s="5"/>
      <c r="S87" s="5"/>
      <c r="T87" s="5"/>
      <c r="U87" s="5"/>
      <c r="V87" s="5"/>
      <c r="W87" s="5"/>
      <c r="X87" s="5"/>
    </row>
    <row r="88" spans="1:24" ht="15.75" thickBot="1" x14ac:dyDescent="0.3">
      <c r="A88" s="5"/>
      <c r="B88" s="5"/>
      <c r="C88" s="5"/>
      <c r="D88" s="5"/>
      <c r="E88" s="34"/>
      <c r="F88" s="5"/>
      <c r="G88" s="5"/>
      <c r="H88" s="5"/>
      <c r="I88" s="5"/>
      <c r="J88" s="5"/>
      <c r="K88" s="5"/>
      <c r="L88" s="5"/>
      <c r="M88" s="5"/>
      <c r="N88" s="5"/>
      <c r="O88" s="5"/>
      <c r="P88" s="5"/>
      <c r="Q88" s="5"/>
      <c r="R88" s="5"/>
      <c r="S88" s="5"/>
      <c r="T88" s="5"/>
      <c r="U88" s="5"/>
      <c r="V88" s="5"/>
      <c r="W88" s="5"/>
      <c r="X88" s="5"/>
    </row>
    <row r="89" spans="1:24" ht="15.75" thickBot="1" x14ac:dyDescent="0.3">
      <c r="A89" s="5"/>
      <c r="B89" s="5"/>
      <c r="C89" s="5"/>
      <c r="D89" s="5"/>
      <c r="E89" s="34"/>
      <c r="F89" s="5"/>
      <c r="G89" s="5"/>
      <c r="H89" s="5"/>
      <c r="I89" s="5"/>
      <c r="J89" s="5"/>
      <c r="K89" s="5"/>
      <c r="L89" s="5"/>
      <c r="M89" s="5"/>
      <c r="N89" s="5"/>
      <c r="O89" s="5"/>
      <c r="P89" s="5"/>
      <c r="Q89" s="5"/>
      <c r="R89" s="5"/>
      <c r="S89" s="5"/>
      <c r="T89" s="5"/>
      <c r="U89" s="5"/>
      <c r="V89" s="5"/>
      <c r="W89" s="5"/>
      <c r="X89" s="5"/>
    </row>
    <row r="90" spans="1:24" ht="15.75" thickBot="1" x14ac:dyDescent="0.3">
      <c r="A90" s="5"/>
      <c r="B90" s="5"/>
      <c r="C90" s="5"/>
      <c r="D90" s="5"/>
      <c r="E90" s="34"/>
      <c r="F90" s="5"/>
      <c r="G90" s="5"/>
      <c r="H90" s="5"/>
      <c r="I90" s="5"/>
      <c r="J90" s="5"/>
      <c r="K90" s="5"/>
      <c r="L90" s="5"/>
      <c r="M90" s="5"/>
      <c r="N90" s="5"/>
      <c r="O90" s="5"/>
      <c r="P90" s="5"/>
      <c r="Q90" s="5"/>
      <c r="R90" s="5"/>
      <c r="S90" s="5"/>
      <c r="T90" s="5"/>
      <c r="U90" s="5"/>
      <c r="V90" s="5"/>
      <c r="W90" s="5"/>
      <c r="X90" s="5"/>
    </row>
    <row r="91" spans="1:24" ht="15.75" thickBot="1" x14ac:dyDescent="0.3">
      <c r="A91" s="5"/>
      <c r="B91" s="5"/>
      <c r="C91" s="5"/>
      <c r="D91" s="5"/>
      <c r="E91" s="34"/>
      <c r="F91" s="5"/>
      <c r="G91" s="5"/>
      <c r="H91" s="5"/>
      <c r="I91" s="5"/>
      <c r="J91" s="5"/>
      <c r="K91" s="5"/>
      <c r="L91" s="5"/>
      <c r="M91" s="5"/>
      <c r="N91" s="5"/>
      <c r="O91" s="5"/>
      <c r="P91" s="5"/>
      <c r="Q91" s="5"/>
      <c r="R91" s="5"/>
      <c r="S91" s="5"/>
      <c r="T91" s="5"/>
      <c r="U91" s="5"/>
      <c r="V91" s="5"/>
      <c r="W91" s="5"/>
      <c r="X91" s="5"/>
    </row>
    <row r="92" spans="1:24" ht="15.75" thickBot="1" x14ac:dyDescent="0.3">
      <c r="A92" s="5"/>
      <c r="B92" s="5"/>
      <c r="C92" s="5"/>
      <c r="D92" s="5"/>
      <c r="E92" s="34"/>
      <c r="F92" s="5"/>
      <c r="G92" s="5"/>
      <c r="H92" s="5"/>
      <c r="I92" s="5"/>
      <c r="J92" s="5"/>
      <c r="K92" s="5"/>
      <c r="L92" s="5"/>
      <c r="M92" s="5"/>
      <c r="N92" s="5"/>
      <c r="O92" s="5"/>
      <c r="P92" s="5"/>
      <c r="Q92" s="5"/>
      <c r="R92" s="5"/>
      <c r="S92" s="5"/>
      <c r="T92" s="5"/>
      <c r="U92" s="5"/>
      <c r="V92" s="5"/>
      <c r="W92" s="5"/>
      <c r="X92" s="5"/>
    </row>
    <row r="93" spans="1:24" ht="15.75" thickBot="1" x14ac:dyDescent="0.3">
      <c r="A93" s="5"/>
      <c r="B93" s="5"/>
      <c r="C93" s="5"/>
      <c r="D93" s="5"/>
      <c r="E93" s="34"/>
      <c r="F93" s="5"/>
      <c r="G93" s="5"/>
      <c r="H93" s="5"/>
      <c r="I93" s="5"/>
      <c r="J93" s="5"/>
      <c r="K93" s="5"/>
      <c r="L93" s="5"/>
      <c r="M93" s="5"/>
      <c r="N93" s="5"/>
      <c r="O93" s="5"/>
      <c r="P93" s="5"/>
      <c r="Q93" s="5"/>
      <c r="R93" s="5"/>
      <c r="S93" s="5"/>
      <c r="T93" s="5"/>
      <c r="U93" s="5"/>
      <c r="V93" s="5"/>
      <c r="W93" s="5"/>
      <c r="X93" s="5"/>
    </row>
    <row r="94" spans="1:24" ht="15.75" thickBot="1" x14ac:dyDescent="0.3">
      <c r="A94" s="5"/>
      <c r="B94" s="5"/>
      <c r="C94" s="5"/>
      <c r="D94" s="5"/>
      <c r="E94" s="34"/>
      <c r="F94" s="5"/>
      <c r="G94" s="5"/>
      <c r="H94" s="5"/>
      <c r="I94" s="5"/>
      <c r="J94" s="5"/>
      <c r="K94" s="5"/>
      <c r="L94" s="5"/>
      <c r="M94" s="5"/>
      <c r="N94" s="5"/>
      <c r="O94" s="5"/>
      <c r="P94" s="5"/>
      <c r="Q94" s="5"/>
      <c r="R94" s="5"/>
      <c r="S94" s="5"/>
      <c r="T94" s="5"/>
      <c r="U94" s="5"/>
      <c r="V94" s="5"/>
      <c r="W94" s="5"/>
      <c r="X94" s="5"/>
    </row>
    <row r="95" spans="1:24" ht="15.75" thickBot="1" x14ac:dyDescent="0.3">
      <c r="A95" s="5"/>
      <c r="B95" s="5"/>
      <c r="C95" s="5"/>
      <c r="D95" s="5"/>
      <c r="E95" s="34"/>
      <c r="F95" s="5"/>
      <c r="G95" s="5"/>
      <c r="H95" s="5"/>
      <c r="I95" s="5"/>
      <c r="J95" s="5"/>
      <c r="K95" s="5"/>
      <c r="L95" s="5"/>
      <c r="M95" s="5"/>
      <c r="N95" s="5"/>
      <c r="O95" s="5"/>
      <c r="P95" s="5"/>
      <c r="Q95" s="5"/>
      <c r="R95" s="5"/>
      <c r="S95" s="5"/>
      <c r="T95" s="5"/>
      <c r="U95" s="5"/>
      <c r="V95" s="5"/>
      <c r="W95" s="5"/>
      <c r="X95" s="5"/>
    </row>
    <row r="96" spans="1:24" ht="15.75" thickBot="1" x14ac:dyDescent="0.3">
      <c r="A96" s="5"/>
      <c r="B96" s="5"/>
      <c r="C96" s="5"/>
      <c r="D96" s="5"/>
      <c r="E96" s="34"/>
      <c r="F96" s="5"/>
      <c r="G96" s="5"/>
      <c r="H96" s="5"/>
      <c r="I96" s="5"/>
      <c r="J96" s="5"/>
      <c r="K96" s="5"/>
      <c r="L96" s="5"/>
      <c r="M96" s="5"/>
      <c r="N96" s="5"/>
      <c r="O96" s="5"/>
      <c r="P96" s="5"/>
      <c r="Q96" s="5"/>
      <c r="R96" s="5"/>
      <c r="S96" s="5"/>
      <c r="T96" s="5"/>
      <c r="U96" s="5"/>
      <c r="V96" s="5"/>
      <c r="W96" s="5"/>
      <c r="X96" s="5"/>
    </row>
    <row r="97" spans="1:24" ht="15.75" thickBot="1" x14ac:dyDescent="0.3">
      <c r="A97" s="5"/>
      <c r="B97" s="5"/>
      <c r="C97" s="5"/>
      <c r="D97" s="5"/>
      <c r="E97" s="34"/>
      <c r="F97" s="5"/>
      <c r="G97" s="5"/>
      <c r="H97" s="5"/>
      <c r="I97" s="5"/>
      <c r="J97" s="5"/>
      <c r="K97" s="5"/>
      <c r="L97" s="5"/>
      <c r="M97" s="5"/>
      <c r="N97" s="5"/>
      <c r="O97" s="5"/>
      <c r="P97" s="5"/>
      <c r="Q97" s="5"/>
      <c r="R97" s="5"/>
      <c r="S97" s="5"/>
      <c r="T97" s="5"/>
      <c r="U97" s="5"/>
      <c r="V97" s="5"/>
      <c r="W97" s="5"/>
      <c r="X97" s="5"/>
    </row>
    <row r="98" spans="1:24" ht="15.75" thickBot="1" x14ac:dyDescent="0.3">
      <c r="A98" s="5"/>
      <c r="B98" s="5"/>
      <c r="C98" s="5"/>
      <c r="D98" s="5"/>
      <c r="E98" s="34"/>
      <c r="F98" s="5"/>
      <c r="G98" s="5"/>
      <c r="H98" s="5"/>
      <c r="I98" s="5"/>
      <c r="J98" s="5"/>
      <c r="K98" s="5"/>
      <c r="L98" s="5"/>
      <c r="M98" s="5"/>
      <c r="N98" s="5"/>
      <c r="O98" s="5"/>
      <c r="P98" s="5"/>
      <c r="Q98" s="5"/>
      <c r="R98" s="5"/>
      <c r="S98" s="5"/>
      <c r="T98" s="5"/>
      <c r="U98" s="5"/>
      <c r="V98" s="5"/>
      <c r="W98" s="5"/>
      <c r="X98" s="5"/>
    </row>
    <row r="99" spans="1:24" ht="15.75" thickBot="1" x14ac:dyDescent="0.3">
      <c r="A99" s="5"/>
      <c r="B99" s="5"/>
      <c r="C99" s="5"/>
      <c r="D99" s="5"/>
      <c r="E99" s="34"/>
      <c r="F99" s="5"/>
      <c r="G99" s="5"/>
      <c r="H99" s="5"/>
      <c r="I99" s="5"/>
      <c r="J99" s="5"/>
      <c r="K99" s="5"/>
      <c r="L99" s="5"/>
      <c r="M99" s="5"/>
      <c r="N99" s="5"/>
      <c r="O99" s="5"/>
      <c r="P99" s="5"/>
      <c r="Q99" s="5"/>
      <c r="R99" s="5"/>
      <c r="S99" s="5"/>
      <c r="T99" s="5"/>
      <c r="U99" s="5"/>
      <c r="V99" s="5"/>
      <c r="W99" s="5"/>
      <c r="X99" s="5"/>
    </row>
    <row r="100" spans="1:24" ht="15.75" thickBot="1" x14ac:dyDescent="0.3">
      <c r="A100" s="5"/>
      <c r="B100" s="5"/>
      <c r="C100" s="5"/>
      <c r="D100" s="5"/>
      <c r="E100" s="34"/>
      <c r="F100" s="5"/>
      <c r="G100" s="5"/>
      <c r="H100" s="5"/>
      <c r="I100" s="5"/>
      <c r="J100" s="5"/>
      <c r="K100" s="5"/>
      <c r="L100" s="5"/>
      <c r="M100" s="5"/>
      <c r="N100" s="5"/>
      <c r="O100" s="5"/>
      <c r="P100" s="5"/>
      <c r="Q100" s="5"/>
      <c r="R100" s="5"/>
      <c r="S100" s="5"/>
      <c r="T100" s="5"/>
      <c r="U100" s="5"/>
      <c r="V100" s="5"/>
      <c r="W100" s="5"/>
      <c r="X100" s="5"/>
    </row>
    <row r="101" spans="1:24" ht="15.75" thickBot="1" x14ac:dyDescent="0.3">
      <c r="A101" s="5"/>
      <c r="B101" s="5"/>
      <c r="C101" s="5"/>
      <c r="D101" s="5"/>
      <c r="E101" s="34"/>
      <c r="F101" s="5"/>
      <c r="G101" s="5"/>
      <c r="H101" s="5"/>
      <c r="I101" s="5"/>
      <c r="J101" s="5"/>
      <c r="K101" s="5"/>
      <c r="L101" s="5"/>
      <c r="M101" s="5"/>
      <c r="N101" s="5"/>
      <c r="O101" s="5"/>
      <c r="P101" s="5"/>
      <c r="Q101" s="5"/>
      <c r="R101" s="5"/>
      <c r="S101" s="5"/>
      <c r="T101" s="5"/>
      <c r="U101" s="5"/>
      <c r="V101" s="5"/>
      <c r="W101" s="5"/>
      <c r="X101" s="5"/>
    </row>
    <row r="102" spans="1:24" ht="15.75" thickBot="1" x14ac:dyDescent="0.3">
      <c r="A102" s="5"/>
      <c r="B102" s="5"/>
      <c r="C102" s="5"/>
      <c r="D102" s="5"/>
      <c r="E102" s="34"/>
      <c r="F102" s="5"/>
      <c r="G102" s="5"/>
      <c r="H102" s="5"/>
      <c r="I102" s="5"/>
      <c r="J102" s="5"/>
      <c r="K102" s="5"/>
      <c r="L102" s="5"/>
      <c r="M102" s="5"/>
      <c r="N102" s="5"/>
      <c r="O102" s="5"/>
      <c r="P102" s="5"/>
      <c r="Q102" s="5"/>
      <c r="R102" s="5"/>
      <c r="S102" s="5"/>
      <c r="T102" s="5"/>
      <c r="U102" s="5"/>
      <c r="V102" s="5"/>
      <c r="W102" s="5"/>
      <c r="X102" s="5"/>
    </row>
    <row r="103" spans="1:24" ht="15.75" thickBot="1" x14ac:dyDescent="0.3">
      <c r="A103" s="5"/>
      <c r="B103" s="5"/>
      <c r="C103" s="5"/>
      <c r="D103" s="5"/>
      <c r="E103" s="34"/>
      <c r="F103" s="5"/>
      <c r="G103" s="5"/>
      <c r="H103" s="5"/>
      <c r="I103" s="5"/>
      <c r="J103" s="5"/>
      <c r="K103" s="5"/>
      <c r="L103" s="5"/>
      <c r="M103" s="5"/>
      <c r="N103" s="5"/>
      <c r="O103" s="5"/>
      <c r="P103" s="5"/>
      <c r="Q103" s="5"/>
      <c r="R103" s="5"/>
      <c r="S103" s="5"/>
      <c r="T103" s="5"/>
      <c r="U103" s="5"/>
      <c r="V103" s="5"/>
      <c r="W103" s="5"/>
      <c r="X103" s="5"/>
    </row>
    <row r="104" spans="1:24" ht="15.75" thickBot="1" x14ac:dyDescent="0.3">
      <c r="A104" s="5"/>
      <c r="B104" s="5"/>
      <c r="C104" s="5"/>
      <c r="D104" s="5"/>
      <c r="E104" s="34"/>
      <c r="F104" s="5"/>
      <c r="G104" s="5"/>
      <c r="H104" s="5"/>
      <c r="I104" s="5"/>
      <c r="J104" s="5"/>
      <c r="K104" s="5"/>
      <c r="L104" s="5"/>
      <c r="M104" s="5"/>
      <c r="N104" s="5"/>
      <c r="O104" s="5"/>
      <c r="P104" s="5"/>
      <c r="Q104" s="5"/>
      <c r="R104" s="5"/>
      <c r="S104" s="5"/>
      <c r="T104" s="5"/>
      <c r="U104" s="5"/>
      <c r="V104" s="5"/>
      <c r="W104" s="5"/>
      <c r="X104" s="5"/>
    </row>
    <row r="105" spans="1:24" ht="15.75" thickBot="1" x14ac:dyDescent="0.3">
      <c r="A105" s="5"/>
      <c r="B105" s="5"/>
      <c r="C105" s="5"/>
      <c r="D105" s="5"/>
      <c r="E105" s="34"/>
      <c r="F105" s="5"/>
      <c r="G105" s="5"/>
      <c r="H105" s="5"/>
      <c r="I105" s="5"/>
      <c r="J105" s="5"/>
      <c r="K105" s="5"/>
      <c r="L105" s="5"/>
      <c r="M105" s="5"/>
      <c r="N105" s="5"/>
      <c r="O105" s="5"/>
      <c r="P105" s="5"/>
      <c r="Q105" s="5"/>
      <c r="R105" s="5"/>
      <c r="S105" s="5"/>
      <c r="T105" s="5"/>
      <c r="U105" s="5"/>
      <c r="V105" s="5"/>
      <c r="W105" s="5"/>
      <c r="X105" s="5"/>
    </row>
    <row r="106" spans="1:24" ht="15.75" thickBot="1" x14ac:dyDescent="0.3">
      <c r="A106" s="5"/>
      <c r="B106" s="5"/>
      <c r="C106" s="5"/>
      <c r="D106" s="5"/>
      <c r="E106" s="34"/>
      <c r="F106" s="5"/>
      <c r="G106" s="5"/>
      <c r="H106" s="5"/>
      <c r="I106" s="5"/>
      <c r="J106" s="5"/>
      <c r="K106" s="5"/>
      <c r="L106" s="5"/>
      <c r="M106" s="5"/>
      <c r="N106" s="5"/>
      <c r="O106" s="5"/>
      <c r="P106" s="5"/>
      <c r="Q106" s="5"/>
      <c r="R106" s="5"/>
      <c r="S106" s="5"/>
      <c r="T106" s="5"/>
      <c r="U106" s="5"/>
      <c r="V106" s="5"/>
      <c r="W106" s="5"/>
      <c r="X106" s="5"/>
    </row>
    <row r="107" spans="1:24" ht="15.75" thickBot="1" x14ac:dyDescent="0.3">
      <c r="A107" s="5"/>
      <c r="B107" s="5"/>
      <c r="C107" s="5"/>
      <c r="D107" s="5"/>
      <c r="E107" s="34"/>
      <c r="F107" s="5"/>
      <c r="G107" s="5"/>
      <c r="H107" s="5"/>
      <c r="I107" s="5"/>
      <c r="J107" s="5"/>
      <c r="K107" s="5"/>
      <c r="L107" s="5"/>
      <c r="M107" s="5"/>
      <c r="N107" s="5"/>
      <c r="O107" s="5"/>
      <c r="P107" s="5"/>
      <c r="Q107" s="5"/>
      <c r="R107" s="5"/>
      <c r="S107" s="5"/>
      <c r="T107" s="5"/>
      <c r="U107" s="5"/>
      <c r="V107" s="5"/>
      <c r="W107" s="5"/>
      <c r="X107" s="5"/>
    </row>
    <row r="108" spans="1:24" ht="15.75" thickBot="1" x14ac:dyDescent="0.3">
      <c r="A108" s="5"/>
      <c r="B108" s="5"/>
      <c r="C108" s="5"/>
      <c r="D108" s="5"/>
      <c r="E108" s="34"/>
      <c r="F108" s="5"/>
      <c r="G108" s="5"/>
      <c r="H108" s="5"/>
      <c r="I108" s="5"/>
      <c r="J108" s="5"/>
      <c r="K108" s="5"/>
      <c r="L108" s="5"/>
      <c r="M108" s="5"/>
      <c r="N108" s="5"/>
      <c r="O108" s="5"/>
      <c r="P108" s="5"/>
      <c r="Q108" s="5"/>
      <c r="R108" s="5"/>
      <c r="S108" s="5"/>
      <c r="T108" s="5"/>
      <c r="U108" s="5"/>
      <c r="V108" s="5"/>
      <c r="W108" s="5"/>
      <c r="X108" s="5"/>
    </row>
    <row r="109" spans="1:24" ht="15.75" thickBot="1" x14ac:dyDescent="0.3">
      <c r="A109" s="5"/>
      <c r="B109" s="5"/>
      <c r="C109" s="5"/>
      <c r="D109" s="5"/>
      <c r="E109" s="34"/>
      <c r="F109" s="5"/>
      <c r="G109" s="5"/>
      <c r="H109" s="5"/>
      <c r="I109" s="5"/>
      <c r="J109" s="5"/>
      <c r="K109" s="5"/>
      <c r="L109" s="5"/>
      <c r="M109" s="5"/>
      <c r="N109" s="5"/>
      <c r="O109" s="5"/>
      <c r="P109" s="5"/>
      <c r="Q109" s="5"/>
      <c r="R109" s="5"/>
      <c r="S109" s="5"/>
      <c r="T109" s="5"/>
      <c r="U109" s="5"/>
      <c r="V109" s="5"/>
      <c r="W109" s="5"/>
      <c r="X109" s="5"/>
    </row>
    <row r="110" spans="1:24" ht="15.75" thickBot="1" x14ac:dyDescent="0.3">
      <c r="A110" s="5"/>
      <c r="B110" s="5"/>
      <c r="C110" s="5"/>
      <c r="D110" s="5"/>
      <c r="E110" s="34"/>
      <c r="F110" s="5"/>
      <c r="G110" s="5"/>
      <c r="H110" s="5"/>
      <c r="I110" s="5"/>
      <c r="J110" s="5"/>
      <c r="K110" s="5"/>
      <c r="L110" s="5"/>
      <c r="M110" s="5"/>
      <c r="N110" s="5"/>
      <c r="O110" s="5"/>
      <c r="P110" s="5"/>
      <c r="Q110" s="5"/>
      <c r="R110" s="5"/>
      <c r="S110" s="5"/>
      <c r="T110" s="5"/>
      <c r="U110" s="5"/>
      <c r="V110" s="5"/>
      <c r="W110" s="5"/>
      <c r="X110" s="5"/>
    </row>
    <row r="111" spans="1:24" ht="15.75" thickBot="1" x14ac:dyDescent="0.3">
      <c r="A111" s="5"/>
      <c r="B111" s="5"/>
      <c r="C111" s="5"/>
      <c r="D111" s="5"/>
      <c r="E111" s="34"/>
      <c r="F111" s="5"/>
      <c r="G111" s="5"/>
      <c r="H111" s="5"/>
      <c r="I111" s="5"/>
      <c r="J111" s="5"/>
      <c r="K111" s="5"/>
      <c r="L111" s="5"/>
      <c r="M111" s="5"/>
      <c r="N111" s="5"/>
      <c r="O111" s="5"/>
      <c r="P111" s="5"/>
      <c r="Q111" s="5"/>
      <c r="R111" s="5"/>
      <c r="S111" s="5"/>
      <c r="T111" s="5"/>
      <c r="U111" s="5"/>
      <c r="V111" s="5"/>
      <c r="W111" s="5"/>
      <c r="X111" s="5"/>
    </row>
    <row r="112" spans="1:24" ht="15.75" thickBot="1" x14ac:dyDescent="0.3">
      <c r="A112" s="5"/>
      <c r="B112" s="5"/>
      <c r="C112" s="5"/>
      <c r="D112" s="5"/>
      <c r="E112" s="34"/>
      <c r="F112" s="5"/>
      <c r="G112" s="5"/>
      <c r="H112" s="5"/>
      <c r="I112" s="5"/>
      <c r="J112" s="5"/>
      <c r="K112" s="5"/>
      <c r="L112" s="5"/>
      <c r="M112" s="5"/>
      <c r="N112" s="5"/>
      <c r="O112" s="5"/>
      <c r="P112" s="5"/>
      <c r="Q112" s="5"/>
      <c r="R112" s="5"/>
      <c r="S112" s="5"/>
      <c r="T112" s="5"/>
      <c r="U112" s="5"/>
      <c r="V112" s="5"/>
      <c r="W112" s="5"/>
      <c r="X112" s="5"/>
    </row>
    <row r="113" spans="1:24" ht="15.75" thickBot="1" x14ac:dyDescent="0.3">
      <c r="A113" s="5"/>
      <c r="B113" s="5"/>
      <c r="C113" s="5"/>
      <c r="D113" s="5"/>
      <c r="E113" s="34"/>
      <c r="F113" s="5"/>
      <c r="G113" s="5"/>
      <c r="H113" s="5"/>
      <c r="I113" s="5"/>
      <c r="J113" s="5"/>
      <c r="K113" s="5"/>
      <c r="L113" s="5"/>
      <c r="M113" s="5"/>
      <c r="N113" s="5"/>
      <c r="O113" s="5"/>
      <c r="P113" s="5"/>
      <c r="Q113" s="5"/>
      <c r="R113" s="5"/>
      <c r="S113" s="5"/>
      <c r="T113" s="5"/>
      <c r="U113" s="5"/>
      <c r="V113" s="5"/>
      <c r="W113" s="5"/>
      <c r="X113" s="5"/>
    </row>
    <row r="114" spans="1:24" ht="15.75" thickBot="1" x14ac:dyDescent="0.3">
      <c r="A114" s="5"/>
      <c r="B114" s="5"/>
      <c r="C114" s="5"/>
      <c r="D114" s="5"/>
      <c r="E114" s="34"/>
      <c r="F114" s="5"/>
      <c r="G114" s="5"/>
      <c r="H114" s="5"/>
      <c r="I114" s="5"/>
      <c r="J114" s="5"/>
      <c r="K114" s="5"/>
      <c r="L114" s="5"/>
      <c r="M114" s="5"/>
      <c r="N114" s="5"/>
      <c r="O114" s="5"/>
      <c r="P114" s="5"/>
      <c r="Q114" s="5"/>
      <c r="R114" s="5"/>
      <c r="S114" s="5"/>
      <c r="T114" s="5"/>
      <c r="U114" s="5"/>
      <c r="V114" s="5"/>
      <c r="W114" s="5"/>
      <c r="X114" s="5"/>
    </row>
    <row r="115" spans="1:24" ht="15.75" thickBot="1" x14ac:dyDescent="0.3">
      <c r="A115" s="5"/>
      <c r="B115" s="5"/>
      <c r="C115" s="5"/>
      <c r="D115" s="5"/>
      <c r="E115" s="34"/>
      <c r="F115" s="5"/>
      <c r="G115" s="5"/>
      <c r="H115" s="5"/>
      <c r="I115" s="5"/>
      <c r="J115" s="5"/>
      <c r="K115" s="5"/>
      <c r="L115" s="5"/>
      <c r="M115" s="5"/>
      <c r="N115" s="5"/>
      <c r="O115" s="5"/>
      <c r="P115" s="5"/>
      <c r="Q115" s="5"/>
      <c r="R115" s="5"/>
      <c r="S115" s="5"/>
      <c r="T115" s="5"/>
      <c r="U115" s="5"/>
      <c r="V115" s="5"/>
      <c r="W115" s="5"/>
      <c r="X115" s="5"/>
    </row>
    <row r="116" spans="1:24" ht="15.75" thickBot="1" x14ac:dyDescent="0.3">
      <c r="A116" s="5"/>
      <c r="B116" s="5"/>
      <c r="C116" s="5"/>
      <c r="D116" s="5"/>
      <c r="E116" s="34"/>
      <c r="F116" s="5"/>
      <c r="G116" s="5"/>
      <c r="H116" s="5"/>
      <c r="I116" s="5"/>
      <c r="J116" s="5"/>
      <c r="K116" s="5"/>
      <c r="L116" s="5"/>
      <c r="M116" s="5"/>
      <c r="N116" s="5"/>
      <c r="O116" s="5"/>
      <c r="P116" s="5"/>
      <c r="Q116" s="5"/>
      <c r="R116" s="5"/>
      <c r="S116" s="5"/>
      <c r="T116" s="5"/>
      <c r="U116" s="5"/>
      <c r="V116" s="5"/>
      <c r="W116" s="5"/>
      <c r="X116" s="5"/>
    </row>
    <row r="117" spans="1:24" ht="15.75" thickBot="1" x14ac:dyDescent="0.3">
      <c r="A117" s="5"/>
      <c r="B117" s="5"/>
      <c r="C117" s="5"/>
      <c r="D117" s="5"/>
      <c r="E117" s="34"/>
      <c r="F117" s="5"/>
      <c r="G117" s="5"/>
      <c r="H117" s="5"/>
      <c r="I117" s="5"/>
      <c r="J117" s="5"/>
      <c r="K117" s="5"/>
      <c r="L117" s="5"/>
      <c r="M117" s="5"/>
      <c r="N117" s="5"/>
      <c r="O117" s="5"/>
      <c r="P117" s="5"/>
      <c r="Q117" s="5"/>
      <c r="R117" s="5"/>
      <c r="S117" s="5"/>
      <c r="T117" s="5"/>
      <c r="U117" s="5"/>
      <c r="V117" s="5"/>
      <c r="W117" s="5"/>
      <c r="X117" s="5"/>
    </row>
    <row r="118" spans="1:24" ht="15.75" thickBot="1" x14ac:dyDescent="0.3">
      <c r="A118" s="5"/>
      <c r="B118" s="5"/>
      <c r="C118" s="5"/>
      <c r="D118" s="5"/>
      <c r="E118" s="34"/>
      <c r="F118" s="5"/>
      <c r="G118" s="5"/>
      <c r="H118" s="5"/>
      <c r="I118" s="5"/>
      <c r="J118" s="5"/>
      <c r="K118" s="5"/>
      <c r="L118" s="5"/>
      <c r="M118" s="5"/>
      <c r="N118" s="5"/>
      <c r="O118" s="5"/>
      <c r="P118" s="5"/>
      <c r="Q118" s="5"/>
      <c r="R118" s="5"/>
      <c r="S118" s="5"/>
      <c r="T118" s="5"/>
      <c r="U118" s="5"/>
      <c r="V118" s="5"/>
      <c r="W118" s="5"/>
      <c r="X118" s="5"/>
    </row>
    <row r="119" spans="1:24" ht="15.75" thickBot="1" x14ac:dyDescent="0.3">
      <c r="A119" s="5"/>
      <c r="B119" s="5"/>
      <c r="C119" s="5"/>
      <c r="D119" s="5"/>
      <c r="E119" s="34"/>
      <c r="F119" s="5"/>
      <c r="G119" s="5"/>
      <c r="H119" s="5"/>
      <c r="I119" s="5"/>
      <c r="J119" s="5"/>
      <c r="K119" s="5"/>
      <c r="L119" s="5"/>
      <c r="M119" s="5"/>
      <c r="N119" s="5"/>
      <c r="O119" s="5"/>
      <c r="P119" s="5"/>
      <c r="Q119" s="5"/>
      <c r="R119" s="5"/>
      <c r="S119" s="5"/>
      <c r="T119" s="5"/>
      <c r="U119" s="5"/>
      <c r="V119" s="5"/>
      <c r="W119" s="5"/>
      <c r="X119" s="5"/>
    </row>
    <row r="120" spans="1:24" ht="15.75" thickBot="1" x14ac:dyDescent="0.3">
      <c r="A120" s="5"/>
      <c r="B120" s="5"/>
      <c r="C120" s="5"/>
      <c r="D120" s="5"/>
      <c r="E120" s="34"/>
      <c r="F120" s="5"/>
      <c r="G120" s="5"/>
      <c r="H120" s="5"/>
      <c r="I120" s="5"/>
      <c r="J120" s="5"/>
      <c r="K120" s="5"/>
      <c r="L120" s="5"/>
      <c r="M120" s="5"/>
      <c r="N120" s="5"/>
      <c r="O120" s="5"/>
      <c r="P120" s="5"/>
      <c r="Q120" s="5"/>
      <c r="R120" s="5"/>
      <c r="S120" s="5"/>
      <c r="T120" s="5"/>
      <c r="U120" s="5"/>
      <c r="V120" s="5"/>
      <c r="W120" s="5"/>
      <c r="X120" s="5"/>
    </row>
    <row r="121" spans="1:24" ht="15.75" thickBot="1" x14ac:dyDescent="0.3">
      <c r="A121" s="5"/>
      <c r="B121" s="5"/>
      <c r="C121" s="5"/>
      <c r="D121" s="5"/>
      <c r="E121" s="34"/>
      <c r="F121" s="5"/>
      <c r="G121" s="5"/>
      <c r="H121" s="5"/>
      <c r="I121" s="5"/>
      <c r="J121" s="5"/>
      <c r="K121" s="5"/>
      <c r="L121" s="5"/>
      <c r="M121" s="5"/>
      <c r="N121" s="5"/>
      <c r="O121" s="5"/>
      <c r="P121" s="5"/>
      <c r="Q121" s="5"/>
      <c r="R121" s="5"/>
      <c r="S121" s="5"/>
      <c r="T121" s="5"/>
      <c r="U121" s="5"/>
      <c r="V121" s="5"/>
      <c r="W121" s="5"/>
      <c r="X121" s="5"/>
    </row>
    <row r="122" spans="1:24" ht="15.75" thickBot="1" x14ac:dyDescent="0.3">
      <c r="A122" s="5"/>
      <c r="B122" s="5"/>
      <c r="C122" s="5"/>
      <c r="D122" s="5"/>
      <c r="E122" s="34"/>
      <c r="F122" s="5"/>
      <c r="G122" s="5"/>
      <c r="H122" s="5"/>
      <c r="I122" s="5"/>
      <c r="J122" s="5"/>
      <c r="K122" s="5"/>
      <c r="L122" s="5"/>
      <c r="M122" s="5"/>
      <c r="N122" s="5"/>
      <c r="O122" s="5"/>
      <c r="P122" s="5"/>
      <c r="Q122" s="5"/>
      <c r="R122" s="5"/>
      <c r="S122" s="5"/>
      <c r="T122" s="5"/>
      <c r="U122" s="5"/>
      <c r="V122" s="5"/>
      <c r="W122" s="5"/>
      <c r="X122" s="5"/>
    </row>
    <row r="123" spans="1:24" ht="15.75" thickBot="1" x14ac:dyDescent="0.3">
      <c r="A123" s="5"/>
      <c r="B123" s="5"/>
      <c r="C123" s="5"/>
      <c r="D123" s="5"/>
      <c r="E123" s="34"/>
      <c r="F123" s="5"/>
      <c r="G123" s="5"/>
      <c r="H123" s="5"/>
      <c r="I123" s="5"/>
      <c r="J123" s="5"/>
      <c r="K123" s="5"/>
      <c r="L123" s="5"/>
      <c r="M123" s="5"/>
      <c r="N123" s="5"/>
      <c r="O123" s="5"/>
      <c r="P123" s="5"/>
      <c r="Q123" s="5"/>
      <c r="R123" s="5"/>
      <c r="S123" s="5"/>
      <c r="T123" s="5"/>
      <c r="U123" s="5"/>
      <c r="V123" s="5"/>
      <c r="W123" s="5"/>
      <c r="X123" s="5"/>
    </row>
    <row r="124" spans="1:24" ht="15.75" thickBot="1" x14ac:dyDescent="0.3">
      <c r="A124" s="5"/>
      <c r="B124" s="5"/>
      <c r="C124" s="5"/>
      <c r="D124" s="5"/>
      <c r="E124" s="34"/>
      <c r="F124" s="5"/>
      <c r="G124" s="5"/>
      <c r="H124" s="5"/>
      <c r="I124" s="5"/>
      <c r="J124" s="5"/>
      <c r="K124" s="5"/>
      <c r="L124" s="5"/>
      <c r="M124" s="5"/>
      <c r="N124" s="5"/>
      <c r="O124" s="5"/>
      <c r="P124" s="5"/>
      <c r="Q124" s="5"/>
      <c r="R124" s="5"/>
      <c r="S124" s="5"/>
      <c r="T124" s="5"/>
      <c r="U124" s="5"/>
      <c r="V124" s="5"/>
      <c r="W124" s="5"/>
      <c r="X124" s="5"/>
    </row>
    <row r="125" spans="1:24" ht="15.75" thickBot="1" x14ac:dyDescent="0.3">
      <c r="A125" s="5"/>
      <c r="B125" s="5"/>
      <c r="C125" s="5"/>
      <c r="D125" s="5"/>
      <c r="E125" s="34"/>
      <c r="F125" s="5"/>
      <c r="G125" s="5"/>
      <c r="H125" s="5"/>
      <c r="I125" s="5"/>
      <c r="J125" s="5"/>
      <c r="K125" s="5"/>
      <c r="L125" s="5"/>
      <c r="M125" s="5"/>
      <c r="N125" s="5"/>
      <c r="O125" s="5"/>
      <c r="P125" s="5"/>
      <c r="Q125" s="5"/>
      <c r="R125" s="5"/>
      <c r="S125" s="5"/>
      <c r="T125" s="5"/>
      <c r="U125" s="5"/>
      <c r="V125" s="5"/>
      <c r="W125" s="5"/>
      <c r="X125" s="5"/>
    </row>
    <row r="126" spans="1:24" ht="15.75" thickBot="1" x14ac:dyDescent="0.3">
      <c r="A126" s="5"/>
      <c r="B126" s="5"/>
      <c r="C126" s="5"/>
      <c r="D126" s="5"/>
      <c r="E126" s="34"/>
      <c r="F126" s="5"/>
      <c r="G126" s="5"/>
      <c r="H126" s="5"/>
      <c r="I126" s="5"/>
      <c r="J126" s="5"/>
      <c r="K126" s="5"/>
      <c r="L126" s="5"/>
      <c r="M126" s="5"/>
      <c r="N126" s="5"/>
      <c r="O126" s="5"/>
      <c r="P126" s="5"/>
      <c r="Q126" s="5"/>
      <c r="R126" s="5"/>
      <c r="S126" s="5"/>
      <c r="T126" s="5"/>
      <c r="U126" s="5"/>
      <c r="V126" s="5"/>
      <c r="W126" s="5"/>
      <c r="X126" s="5"/>
    </row>
    <row r="127" spans="1:24" ht="15.75" thickBot="1" x14ac:dyDescent="0.3">
      <c r="A127" s="5"/>
      <c r="B127" s="5"/>
      <c r="C127" s="5"/>
      <c r="D127" s="5"/>
      <c r="E127" s="34"/>
      <c r="F127" s="5"/>
      <c r="G127" s="5"/>
      <c r="H127" s="5"/>
      <c r="I127" s="5"/>
      <c r="J127" s="5"/>
      <c r="K127" s="5"/>
      <c r="L127" s="5"/>
      <c r="M127" s="5"/>
      <c r="N127" s="5"/>
      <c r="O127" s="5"/>
      <c r="P127" s="5"/>
      <c r="Q127" s="5"/>
      <c r="R127" s="5"/>
      <c r="S127" s="5"/>
      <c r="T127" s="5"/>
      <c r="U127" s="5"/>
      <c r="V127" s="5"/>
      <c r="W127" s="5"/>
      <c r="X127" s="5"/>
    </row>
    <row r="128" spans="1:24" ht="15.75" thickBot="1" x14ac:dyDescent="0.3">
      <c r="A128" s="5"/>
      <c r="B128" s="5"/>
      <c r="C128" s="5"/>
      <c r="D128" s="5"/>
      <c r="E128" s="34"/>
      <c r="F128" s="5"/>
      <c r="G128" s="5"/>
      <c r="H128" s="5"/>
      <c r="I128" s="5"/>
      <c r="J128" s="5"/>
      <c r="K128" s="5"/>
      <c r="L128" s="5"/>
      <c r="M128" s="5"/>
      <c r="N128" s="5"/>
      <c r="O128" s="5"/>
      <c r="P128" s="5"/>
      <c r="Q128" s="5"/>
      <c r="R128" s="5"/>
      <c r="S128" s="5"/>
      <c r="T128" s="5"/>
      <c r="U128" s="5"/>
      <c r="V128" s="5"/>
      <c r="W128" s="5"/>
      <c r="X128" s="5"/>
    </row>
    <row r="129" spans="1:24" ht="15.75" thickBot="1" x14ac:dyDescent="0.3">
      <c r="A129" s="5"/>
      <c r="B129" s="5"/>
      <c r="C129" s="5"/>
      <c r="D129" s="5"/>
      <c r="E129" s="34"/>
      <c r="F129" s="5"/>
      <c r="G129" s="5"/>
      <c r="H129" s="5"/>
      <c r="I129" s="5"/>
      <c r="J129" s="5"/>
      <c r="K129" s="5"/>
      <c r="L129" s="5"/>
      <c r="M129" s="5"/>
      <c r="N129" s="5"/>
      <c r="O129" s="5"/>
      <c r="P129" s="5"/>
      <c r="Q129" s="5"/>
      <c r="R129" s="5"/>
      <c r="S129" s="5"/>
      <c r="T129" s="5"/>
      <c r="U129" s="5"/>
      <c r="V129" s="5"/>
      <c r="W129" s="5"/>
      <c r="X129" s="5"/>
    </row>
    <row r="130" spans="1:24" ht="15.75" thickBot="1" x14ac:dyDescent="0.3">
      <c r="A130" s="5"/>
      <c r="B130" s="5"/>
      <c r="C130" s="5"/>
      <c r="D130" s="5"/>
      <c r="E130" s="34"/>
      <c r="F130" s="5"/>
      <c r="G130" s="5"/>
      <c r="H130" s="5"/>
      <c r="I130" s="5"/>
      <c r="J130" s="5"/>
      <c r="K130" s="5"/>
      <c r="L130" s="5"/>
      <c r="M130" s="5"/>
      <c r="N130" s="5"/>
      <c r="O130" s="5"/>
      <c r="P130" s="5"/>
      <c r="Q130" s="5"/>
      <c r="R130" s="5"/>
      <c r="S130" s="5"/>
      <c r="T130" s="5"/>
      <c r="U130" s="5"/>
      <c r="V130" s="5"/>
      <c r="W130" s="5"/>
      <c r="X130" s="5"/>
    </row>
    <row r="131" spans="1:24" ht="15.75" thickBot="1" x14ac:dyDescent="0.3">
      <c r="A131" s="5"/>
      <c r="B131" s="5"/>
      <c r="C131" s="5"/>
      <c r="D131" s="5"/>
      <c r="E131" s="34"/>
      <c r="F131" s="5"/>
      <c r="G131" s="5"/>
      <c r="H131" s="5"/>
      <c r="I131" s="5"/>
      <c r="J131" s="5"/>
      <c r="K131" s="5"/>
      <c r="L131" s="5"/>
      <c r="M131" s="5"/>
      <c r="N131" s="5"/>
      <c r="O131" s="5"/>
      <c r="P131" s="5"/>
      <c r="Q131" s="5"/>
      <c r="R131" s="5"/>
      <c r="S131" s="5"/>
      <c r="T131" s="5"/>
      <c r="U131" s="5"/>
      <c r="V131" s="5"/>
      <c r="W131" s="5"/>
      <c r="X131" s="5"/>
    </row>
    <row r="132" spans="1:24" ht="15.75" thickBot="1" x14ac:dyDescent="0.3">
      <c r="A132" s="5"/>
      <c r="B132" s="5"/>
      <c r="C132" s="5"/>
      <c r="D132" s="5"/>
      <c r="E132" s="34"/>
      <c r="F132" s="5"/>
      <c r="G132" s="5"/>
      <c r="H132" s="5"/>
      <c r="I132" s="5"/>
      <c r="J132" s="5"/>
      <c r="K132" s="5"/>
      <c r="L132" s="5"/>
      <c r="M132" s="5"/>
      <c r="N132" s="5"/>
      <c r="O132" s="5"/>
      <c r="P132" s="5"/>
      <c r="Q132" s="5"/>
      <c r="R132" s="5"/>
      <c r="S132" s="5"/>
      <c r="T132" s="5"/>
      <c r="U132" s="5"/>
      <c r="V132" s="5"/>
      <c r="W132" s="5"/>
      <c r="X132" s="5"/>
    </row>
    <row r="133" spans="1:24" ht="15.75" thickBot="1" x14ac:dyDescent="0.3">
      <c r="A133" s="5"/>
      <c r="B133" s="5"/>
      <c r="C133" s="5"/>
      <c r="D133" s="5"/>
      <c r="E133" s="34"/>
      <c r="F133" s="5"/>
      <c r="G133" s="5"/>
      <c r="H133" s="5"/>
      <c r="I133" s="5"/>
      <c r="J133" s="5"/>
      <c r="K133" s="5"/>
      <c r="L133" s="5"/>
      <c r="M133" s="5"/>
      <c r="N133" s="5"/>
      <c r="O133" s="5"/>
      <c r="P133" s="5"/>
      <c r="Q133" s="5"/>
      <c r="R133" s="5"/>
      <c r="S133" s="5"/>
      <c r="T133" s="5"/>
      <c r="U133" s="5"/>
      <c r="V133" s="5"/>
      <c r="W133" s="5"/>
      <c r="X133" s="5"/>
    </row>
    <row r="134" spans="1:24" ht="15.75" thickBot="1" x14ac:dyDescent="0.3">
      <c r="A134" s="5"/>
      <c r="B134" s="5"/>
      <c r="C134" s="5"/>
      <c r="D134" s="5"/>
      <c r="E134" s="34"/>
      <c r="F134" s="5"/>
      <c r="G134" s="5"/>
      <c r="H134" s="5"/>
      <c r="I134" s="5"/>
      <c r="J134" s="5"/>
      <c r="K134" s="5"/>
      <c r="L134" s="5"/>
      <c r="M134" s="5"/>
      <c r="N134" s="5"/>
      <c r="O134" s="5"/>
      <c r="P134" s="5"/>
      <c r="Q134" s="5"/>
      <c r="R134" s="5"/>
      <c r="S134" s="5"/>
      <c r="T134" s="5"/>
      <c r="U134" s="5"/>
      <c r="V134" s="5"/>
      <c r="W134" s="5"/>
      <c r="X134" s="5"/>
    </row>
    <row r="135" spans="1:24" ht="15.75" thickBot="1" x14ac:dyDescent="0.3">
      <c r="A135" s="5"/>
      <c r="B135" s="5"/>
      <c r="C135" s="5"/>
      <c r="D135" s="5"/>
      <c r="E135" s="34"/>
      <c r="F135" s="5"/>
      <c r="G135" s="5"/>
      <c r="H135" s="5"/>
      <c r="I135" s="5"/>
      <c r="J135" s="5"/>
      <c r="K135" s="5"/>
      <c r="L135" s="5"/>
      <c r="M135" s="5"/>
      <c r="N135" s="5"/>
      <c r="O135" s="5"/>
      <c r="P135" s="5"/>
      <c r="Q135" s="5"/>
      <c r="R135" s="5"/>
      <c r="S135" s="5"/>
      <c r="T135" s="5"/>
      <c r="U135" s="5"/>
      <c r="V135" s="5"/>
      <c r="W135" s="5"/>
      <c r="X135" s="5"/>
    </row>
    <row r="136" spans="1:24" ht="15.75" thickBot="1" x14ac:dyDescent="0.3">
      <c r="A136" s="5"/>
      <c r="B136" s="5"/>
      <c r="C136" s="5"/>
      <c r="D136" s="5"/>
      <c r="E136" s="34"/>
      <c r="F136" s="5"/>
      <c r="G136" s="5"/>
      <c r="H136" s="5"/>
      <c r="I136" s="5"/>
      <c r="J136" s="5"/>
      <c r="K136" s="5"/>
      <c r="L136" s="5"/>
      <c r="M136" s="5"/>
      <c r="N136" s="5"/>
      <c r="O136" s="5"/>
      <c r="P136" s="5"/>
      <c r="Q136" s="5"/>
      <c r="R136" s="5"/>
      <c r="S136" s="5"/>
      <c r="T136" s="5"/>
      <c r="U136" s="5"/>
      <c r="V136" s="5"/>
      <c r="W136" s="5"/>
      <c r="X136" s="5"/>
    </row>
    <row r="137" spans="1:24" ht="15.75" thickBot="1" x14ac:dyDescent="0.3">
      <c r="A137" s="5"/>
      <c r="B137" s="5"/>
      <c r="C137" s="5"/>
      <c r="D137" s="5"/>
      <c r="E137" s="34"/>
      <c r="F137" s="5"/>
      <c r="G137" s="5"/>
      <c r="H137" s="5"/>
      <c r="I137" s="5"/>
      <c r="J137" s="5"/>
      <c r="K137" s="5"/>
      <c r="L137" s="5"/>
      <c r="M137" s="5"/>
      <c r="N137" s="5"/>
      <c r="O137" s="5"/>
      <c r="P137" s="5"/>
      <c r="Q137" s="5"/>
      <c r="R137" s="5"/>
      <c r="S137" s="5"/>
      <c r="T137" s="5"/>
      <c r="U137" s="5"/>
      <c r="V137" s="5"/>
      <c r="W137" s="5"/>
      <c r="X137" s="5"/>
    </row>
  </sheetData>
  <hyperlinks>
    <hyperlink ref="F2" r:id="rId1" xr:uid="{8CE45C09-EA76-4BA1-94B7-9A98DC443F63}"/>
    <hyperlink ref="G2" r:id="rId2" xr:uid="{71BB28F4-3046-4069-B64E-D32FEC2E938E}"/>
    <hyperlink ref="F3" r:id="rId3" xr:uid="{1B489543-0051-455E-9660-2F66D18253F2}"/>
    <hyperlink ref="G3" r:id="rId4" xr:uid="{C9E7AB60-5514-4817-97E2-D9DBDA77C193}"/>
    <hyperlink ref="F4" r:id="rId5" xr:uid="{06E62B4B-3E89-4FAD-9D91-2D5B99147128}"/>
    <hyperlink ref="G4" r:id="rId6" xr:uid="{640080E5-EE58-411B-A9D2-A199643F2D44}"/>
    <hyperlink ref="F5" r:id="rId7" xr:uid="{ECDBB85B-F068-419F-976F-35932F2099B6}"/>
    <hyperlink ref="G5" r:id="rId8" xr:uid="{05A34D64-0D07-4C86-9C8A-48AEF24A9CD4}"/>
    <hyperlink ref="F6" r:id="rId9" xr:uid="{51817F52-AED3-4B08-98EF-3737DC1E22B0}"/>
    <hyperlink ref="G6" r:id="rId10" xr:uid="{C9AF0255-72E1-4FD7-9F2C-905315B224F1}"/>
    <hyperlink ref="F7" r:id="rId11" xr:uid="{DA8555DA-C920-46B7-948D-3B0C1BDAB0FB}"/>
    <hyperlink ref="G7" r:id="rId12" xr:uid="{041890FA-AC5D-464F-844A-8DCA41231A62}"/>
    <hyperlink ref="F8" r:id="rId13" xr:uid="{31ED9DCB-7A3A-4965-806C-B17AF2858838}"/>
    <hyperlink ref="G8" r:id="rId14" xr:uid="{351ACD5B-90AD-4D7D-BDC3-A6FB3DE765FC}"/>
    <hyperlink ref="F9" r:id="rId15" xr:uid="{A3905482-CC5B-4BD8-8CAE-2C2589AE1080}"/>
    <hyperlink ref="G9" r:id="rId16" xr:uid="{E3F5B965-46C0-4DA3-8FDE-C720269A0729}"/>
    <hyperlink ref="F10" r:id="rId17" xr:uid="{BD068C50-976A-4A89-A676-C998557C50A9}"/>
    <hyperlink ref="G10" r:id="rId18" xr:uid="{9E3D0D06-3544-4D66-91EE-1FD70D18AE3D}"/>
    <hyperlink ref="F11" r:id="rId19" xr:uid="{507AE8CB-5C29-4EAB-AE9B-8606DD06CBDC}"/>
    <hyperlink ref="G11" r:id="rId20" xr:uid="{7FE78468-9D89-4F31-BBEB-BBA764D39297}"/>
    <hyperlink ref="F12" r:id="rId21" xr:uid="{5A7085E4-41C4-4D8D-AE1E-4A55DDBB5F28}"/>
    <hyperlink ref="G12" r:id="rId22" xr:uid="{794F9F30-F596-4FB2-814C-5E3EDB9416AA}"/>
    <hyperlink ref="F13" r:id="rId23" xr:uid="{FD9D2053-F8EA-468E-8CF1-1EDAAB6144D1}"/>
    <hyperlink ref="G13" r:id="rId24" xr:uid="{8300CCB9-F773-42B7-B4FE-AC6F031C5F35}"/>
    <hyperlink ref="F14" r:id="rId25" xr:uid="{C0B4F250-3410-480D-8ACA-FB17FC8583F5}"/>
    <hyperlink ref="G14" r:id="rId26" xr:uid="{636F7051-A5DE-4C56-8348-F25166DEAB9C}"/>
    <hyperlink ref="F15" r:id="rId27" xr:uid="{E138EDEC-F519-41BA-BCF3-5198B35568AA}"/>
    <hyperlink ref="G15" r:id="rId28" xr:uid="{2154DA3C-CA74-4021-85B4-619E8198983C}"/>
    <hyperlink ref="F16" r:id="rId29" xr:uid="{C88C2663-3A81-4F6A-84D5-86CCDEB3641E}"/>
    <hyperlink ref="G16" r:id="rId30" xr:uid="{E25FC2EA-AEC4-491C-99A6-561A9BB8446D}"/>
    <hyperlink ref="F17" r:id="rId31" xr:uid="{09210411-52A3-45E5-85A9-B94EDC167828}"/>
    <hyperlink ref="G17" r:id="rId32" xr:uid="{850BE240-1DD8-49BF-A36E-7ECA9F392E30}"/>
    <hyperlink ref="F18" r:id="rId33" xr:uid="{01FC4D39-2B4D-4CD2-B1A1-D46C2BA3470F}"/>
    <hyperlink ref="G18" r:id="rId34" xr:uid="{183E3E98-F3C1-4196-9AEB-59FD01830531}"/>
    <hyperlink ref="F19" r:id="rId35" xr:uid="{36AF7C62-4266-4B22-9DD0-C64650ABC764}"/>
    <hyperlink ref="G19" r:id="rId36" xr:uid="{A2659C9A-4826-403C-B270-B4E621DE98F3}"/>
    <hyperlink ref="F20" r:id="rId37" xr:uid="{9B20A0FC-F04E-4DD6-8566-E23A2F35D279}"/>
    <hyperlink ref="G20" r:id="rId38" xr:uid="{B6374B2D-7CF5-461C-9616-2AC133C34B5B}"/>
    <hyperlink ref="F21" r:id="rId39" xr:uid="{A018DC68-F4F7-4039-A696-C03E28910C3D}"/>
    <hyperlink ref="G21" r:id="rId40" xr:uid="{89F5634C-22CA-4EB6-8845-1BD9DA54DDF2}"/>
    <hyperlink ref="F22" r:id="rId41" xr:uid="{0D44AB65-4EE7-45B7-88B0-9D26A3566532}"/>
    <hyperlink ref="G22" r:id="rId42" xr:uid="{0BEDAEFB-3C47-44A3-B65B-516F22763C5A}"/>
    <hyperlink ref="F23" r:id="rId43" xr:uid="{31699BA1-B49C-403E-8EE4-05EB8DCB5E23}"/>
    <hyperlink ref="G23" r:id="rId44" xr:uid="{70F433A4-E796-430E-8A63-5DEF3D3A1E8A}"/>
    <hyperlink ref="F24" r:id="rId45" xr:uid="{1CCF03AE-FF11-4657-9E04-9C70019F2F46}"/>
    <hyperlink ref="G24" r:id="rId46" xr:uid="{64426B1B-DD36-4572-95D4-BC22A4097C71}"/>
    <hyperlink ref="F25" r:id="rId47" xr:uid="{09269639-6128-4E3A-8F78-C045237255F8}"/>
    <hyperlink ref="G25" r:id="rId48" xr:uid="{224A15A9-14FA-4EC1-84AD-DFC08387BE11}"/>
    <hyperlink ref="F26" r:id="rId49" xr:uid="{972FFD4E-FCD5-4436-8ED5-0DAFA873FE1E}"/>
    <hyperlink ref="G26" r:id="rId50" xr:uid="{75C29690-2C61-452D-86F0-D9F97081CDB7}"/>
    <hyperlink ref="F27" r:id="rId51" xr:uid="{EC0068BA-51F4-4C9B-8A8F-ED512F9A3BFC}"/>
    <hyperlink ref="G27" r:id="rId52" xr:uid="{43468BD9-91BA-4D70-9B7E-2AABB188A23B}"/>
    <hyperlink ref="F28" r:id="rId53" xr:uid="{3517E297-4190-4FA9-BDAD-BA87AED2DF32}"/>
    <hyperlink ref="G28" r:id="rId54" xr:uid="{1A12E607-5F9B-4B5C-871A-8193AFE45F03}"/>
    <hyperlink ref="F29" r:id="rId55" xr:uid="{81864E50-CA1B-4A90-BCE2-28E4B80D516B}"/>
    <hyperlink ref="G29" r:id="rId56" xr:uid="{3FE459E4-14F8-4835-9FC6-79BA158B9803}"/>
    <hyperlink ref="F30" r:id="rId57" xr:uid="{4329A644-2E71-47C7-BA91-3A8B99AFCEC4}"/>
    <hyperlink ref="G30" r:id="rId58" xr:uid="{BD41932C-12BB-45A5-9312-FC409EEED5FD}"/>
    <hyperlink ref="F31" r:id="rId59" xr:uid="{B520DB28-6CC1-41A6-B617-81A635027953}"/>
    <hyperlink ref="G31" r:id="rId60" xr:uid="{D49EB255-7EF5-49DD-AA50-A64BB961CC99}"/>
    <hyperlink ref="F32" r:id="rId61" xr:uid="{E7E8F105-C386-461E-8B6A-829C6D5F517B}"/>
    <hyperlink ref="G32" r:id="rId62" xr:uid="{1CD08B0C-EF1E-4757-B512-5D24C55B0A46}"/>
    <hyperlink ref="F33" r:id="rId63" xr:uid="{E1329FAA-7936-48F7-8BA5-18A52E5C9A1B}"/>
    <hyperlink ref="G33" r:id="rId64" xr:uid="{106A94BE-D17E-40A5-8BF7-1EE6B199C0D3}"/>
    <hyperlink ref="F34" r:id="rId65" xr:uid="{2837DF2B-7053-43F1-A212-30F8F68FEBBF}"/>
    <hyperlink ref="G34" r:id="rId66" xr:uid="{0A8D7212-4554-40E1-A424-5383F693BEB1}"/>
    <hyperlink ref="F35" r:id="rId67" xr:uid="{03E80DF6-F51D-47D4-88F2-2098134D74BA}"/>
    <hyperlink ref="G35" r:id="rId68" xr:uid="{C88328E9-CAB3-469E-8D40-A8569BC806E4}"/>
    <hyperlink ref="F36" r:id="rId69" xr:uid="{0A27EDBF-8011-4DEC-A8DE-DED45769A958}"/>
    <hyperlink ref="G36" r:id="rId70" xr:uid="{CA4CA235-69EB-4CB5-9B62-24D878A235BF}"/>
    <hyperlink ref="F37" r:id="rId71" xr:uid="{232A7C68-3A1B-4064-8553-7212854414D0}"/>
    <hyperlink ref="G37" r:id="rId72" xr:uid="{4EFFE6C9-5587-498D-8B34-2DA5522FB90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4DF55-5BF3-4C80-B971-04B23B0FFC91}">
  <dimension ref="A1:Z138"/>
  <sheetViews>
    <sheetView workbookViewId="0">
      <selection activeCell="C1" sqref="C1:E1048576"/>
    </sheetView>
  </sheetViews>
  <sheetFormatPr defaultRowHeight="15" x14ac:dyDescent="0.25"/>
  <cols>
    <col min="3" max="3" width="34.42578125" bestFit="1" customWidth="1"/>
    <col min="4" max="4" width="10" bestFit="1" customWidth="1"/>
    <col min="5" max="5" width="9.140625" style="48"/>
  </cols>
  <sheetData>
    <row r="1" spans="1:26" ht="15.75" thickBot="1" x14ac:dyDescent="0.3">
      <c r="A1" s="7" t="s">
        <v>0</v>
      </c>
      <c r="B1" s="1" t="s">
        <v>1</v>
      </c>
      <c r="C1" s="1" t="s">
        <v>2</v>
      </c>
      <c r="D1" s="1" t="s">
        <v>3</v>
      </c>
      <c r="E1" s="8" t="s">
        <v>265</v>
      </c>
      <c r="F1" s="1" t="s">
        <v>266</v>
      </c>
      <c r="G1" s="8" t="s">
        <v>7</v>
      </c>
      <c r="H1" s="1" t="s">
        <v>267</v>
      </c>
      <c r="I1" s="8" t="s">
        <v>9</v>
      </c>
      <c r="J1" s="1" t="s">
        <v>268</v>
      </c>
      <c r="K1" s="8" t="s">
        <v>11</v>
      </c>
      <c r="L1" s="1" t="s">
        <v>269</v>
      </c>
      <c r="M1" s="8" t="s">
        <v>13</v>
      </c>
      <c r="N1" s="1" t="s">
        <v>270</v>
      </c>
      <c r="O1" s="8" t="s">
        <v>15</v>
      </c>
      <c r="P1" s="1" t="s">
        <v>271</v>
      </c>
      <c r="Q1" s="8" t="s">
        <v>272</v>
      </c>
      <c r="R1" s="1" t="s">
        <v>273</v>
      </c>
      <c r="S1" s="8" t="s">
        <v>274</v>
      </c>
      <c r="T1" s="9" t="s">
        <v>16</v>
      </c>
      <c r="U1" s="10"/>
      <c r="V1" s="10"/>
      <c r="W1" s="10"/>
      <c r="X1" s="10"/>
      <c r="Y1" s="10"/>
      <c r="Z1" s="10"/>
    </row>
    <row r="2" spans="1:26" ht="15.75" thickBot="1" x14ac:dyDescent="0.3">
      <c r="A2" s="11">
        <v>46286.872060185182</v>
      </c>
      <c r="B2" s="12" t="s">
        <v>17</v>
      </c>
      <c r="C2" s="12" t="s">
        <v>18</v>
      </c>
      <c r="D2" s="12" t="s">
        <v>19</v>
      </c>
      <c r="E2" s="44">
        <v>9.3000000000000007</v>
      </c>
      <c r="F2" s="12" t="s">
        <v>275</v>
      </c>
      <c r="G2" s="13">
        <v>0.5</v>
      </c>
      <c r="H2" s="14">
        <v>6465</v>
      </c>
      <c r="I2" s="13">
        <v>1</v>
      </c>
      <c r="J2" s="12" t="s">
        <v>276</v>
      </c>
      <c r="K2" s="13">
        <v>1</v>
      </c>
      <c r="L2" s="12" t="s">
        <v>277</v>
      </c>
      <c r="M2" s="13">
        <v>1</v>
      </c>
      <c r="N2" s="12" t="s">
        <v>278</v>
      </c>
      <c r="O2" s="13">
        <v>1</v>
      </c>
      <c r="P2" s="12" t="s">
        <v>279</v>
      </c>
      <c r="Q2" s="13">
        <v>1</v>
      </c>
      <c r="R2" s="12" t="s">
        <v>280</v>
      </c>
      <c r="S2" s="13">
        <v>1</v>
      </c>
      <c r="T2" s="36" t="s">
        <v>281</v>
      </c>
      <c r="U2" s="5"/>
      <c r="V2" s="5"/>
      <c r="W2" s="5"/>
      <c r="X2" s="5"/>
      <c r="Y2" s="5"/>
      <c r="Z2" s="5"/>
    </row>
    <row r="3" spans="1:26" ht="15.75" thickBot="1" x14ac:dyDescent="0.3">
      <c r="A3" s="16">
        <v>46286.87190972222</v>
      </c>
      <c r="B3" s="17" t="s">
        <v>27</v>
      </c>
      <c r="C3" s="17" t="s">
        <v>28</v>
      </c>
      <c r="D3" s="17" t="s">
        <v>29</v>
      </c>
      <c r="E3" s="45">
        <v>8.6</v>
      </c>
      <c r="F3" s="17" t="s">
        <v>282</v>
      </c>
      <c r="G3" s="18">
        <v>0.5</v>
      </c>
      <c r="H3" s="20">
        <v>6465</v>
      </c>
      <c r="I3" s="18">
        <v>1</v>
      </c>
      <c r="J3" s="17" t="s">
        <v>283</v>
      </c>
      <c r="K3" s="18">
        <v>0.5</v>
      </c>
      <c r="L3" s="17" t="s">
        <v>284</v>
      </c>
      <c r="M3" s="18">
        <v>1</v>
      </c>
      <c r="N3" s="17" t="s">
        <v>285</v>
      </c>
      <c r="O3" s="18">
        <v>1</v>
      </c>
      <c r="P3" s="17" t="s">
        <v>286</v>
      </c>
      <c r="Q3" s="18">
        <v>1</v>
      </c>
      <c r="R3" s="17" t="s">
        <v>287</v>
      </c>
      <c r="S3" s="18">
        <v>1</v>
      </c>
      <c r="T3" s="37" t="s">
        <v>288</v>
      </c>
      <c r="U3" s="5"/>
      <c r="V3" s="5"/>
      <c r="W3" s="5"/>
      <c r="X3" s="5"/>
      <c r="Y3" s="5"/>
      <c r="Z3" s="5"/>
    </row>
    <row r="4" spans="1:26" ht="15.75" thickBot="1" x14ac:dyDescent="0.3">
      <c r="A4" s="11">
        <v>46286.934652777774</v>
      </c>
      <c r="B4" s="12" t="s">
        <v>35</v>
      </c>
      <c r="C4" s="12" t="s">
        <v>289</v>
      </c>
      <c r="D4" s="12" t="s">
        <v>37</v>
      </c>
      <c r="E4" s="44">
        <v>9.3000000000000007</v>
      </c>
      <c r="F4" s="12" t="s">
        <v>290</v>
      </c>
      <c r="G4" s="13">
        <v>0.5</v>
      </c>
      <c r="H4" s="14">
        <v>6465</v>
      </c>
      <c r="I4" s="13">
        <v>1</v>
      </c>
      <c r="J4" s="12" t="s">
        <v>276</v>
      </c>
      <c r="K4" s="13">
        <v>1</v>
      </c>
      <c r="L4" s="12" t="s">
        <v>291</v>
      </c>
      <c r="M4" s="13">
        <v>1</v>
      </c>
      <c r="N4" s="12" t="s">
        <v>278</v>
      </c>
      <c r="O4" s="13">
        <v>1</v>
      </c>
      <c r="P4" s="12" t="s">
        <v>292</v>
      </c>
      <c r="Q4" s="13">
        <v>1</v>
      </c>
      <c r="R4" s="12" t="s">
        <v>293</v>
      </c>
      <c r="S4" s="13">
        <v>1</v>
      </c>
      <c r="T4" s="15"/>
      <c r="U4" s="5"/>
      <c r="V4" s="5"/>
      <c r="W4" s="5"/>
      <c r="X4" s="5"/>
      <c r="Y4" s="5"/>
      <c r="Z4" s="5"/>
    </row>
    <row r="5" spans="1:26" ht="15.75" thickBot="1" x14ac:dyDescent="0.3">
      <c r="A5" s="16">
        <v>46286.963831018518</v>
      </c>
      <c r="B5" s="17" t="s">
        <v>44</v>
      </c>
      <c r="C5" s="17" t="s">
        <v>45</v>
      </c>
      <c r="D5" s="17" t="s">
        <v>46</v>
      </c>
      <c r="E5" s="45">
        <v>8.6</v>
      </c>
      <c r="F5" s="17" t="s">
        <v>294</v>
      </c>
      <c r="G5" s="18">
        <v>0.5</v>
      </c>
      <c r="H5" s="20">
        <v>6465</v>
      </c>
      <c r="I5" s="18">
        <v>1</v>
      </c>
      <c r="J5" s="17" t="s">
        <v>295</v>
      </c>
      <c r="K5" s="18">
        <v>0.5</v>
      </c>
      <c r="L5" s="17" t="s">
        <v>296</v>
      </c>
      <c r="M5" s="18">
        <v>1</v>
      </c>
      <c r="N5" s="17" t="s">
        <v>297</v>
      </c>
      <c r="O5" s="18">
        <v>1</v>
      </c>
      <c r="P5" s="17" t="s">
        <v>298</v>
      </c>
      <c r="Q5" s="18">
        <v>1</v>
      </c>
      <c r="R5" s="17" t="s">
        <v>299</v>
      </c>
      <c r="S5" s="18">
        <v>1</v>
      </c>
      <c r="T5" s="21"/>
      <c r="U5" s="5"/>
      <c r="V5" s="5"/>
      <c r="W5" s="5"/>
      <c r="X5" s="5"/>
      <c r="Y5" s="5"/>
      <c r="Z5" s="5"/>
    </row>
    <row r="6" spans="1:26" ht="15.75" thickBot="1" x14ac:dyDescent="0.3">
      <c r="A6" s="11">
        <v>46285.776712962965</v>
      </c>
      <c r="B6" s="12" t="s">
        <v>49</v>
      </c>
      <c r="C6" s="12" t="s">
        <v>50</v>
      </c>
      <c r="D6" s="12" t="s">
        <v>51</v>
      </c>
      <c r="E6" s="44">
        <v>7.9</v>
      </c>
      <c r="F6" s="12" t="s">
        <v>300</v>
      </c>
      <c r="G6" s="13">
        <v>0</v>
      </c>
      <c r="H6" s="14">
        <v>6465</v>
      </c>
      <c r="I6" s="13">
        <v>1</v>
      </c>
      <c r="J6" s="12" t="s">
        <v>301</v>
      </c>
      <c r="K6" s="13">
        <v>0.5</v>
      </c>
      <c r="L6" s="12" t="s">
        <v>277</v>
      </c>
      <c r="M6" s="13">
        <v>1</v>
      </c>
      <c r="N6" s="12" t="s">
        <v>278</v>
      </c>
      <c r="O6" s="13">
        <v>1</v>
      </c>
      <c r="P6" s="12" t="s">
        <v>279</v>
      </c>
      <c r="Q6" s="13">
        <v>1</v>
      </c>
      <c r="R6" s="12" t="s">
        <v>302</v>
      </c>
      <c r="S6" s="13">
        <v>1</v>
      </c>
      <c r="T6" s="36" t="s">
        <v>303</v>
      </c>
      <c r="U6" s="5"/>
      <c r="V6" s="5"/>
      <c r="W6" s="5"/>
      <c r="X6" s="5"/>
      <c r="Y6" s="5"/>
      <c r="Z6" s="5"/>
    </row>
    <row r="7" spans="1:26" ht="15.75" thickBot="1" x14ac:dyDescent="0.3">
      <c r="A7" s="16">
        <v>46286.462905092594</v>
      </c>
      <c r="B7" s="17" t="s">
        <v>304</v>
      </c>
      <c r="C7" s="17" t="s">
        <v>59</v>
      </c>
      <c r="D7" s="17" t="s">
        <v>60</v>
      </c>
      <c r="E7" s="45">
        <v>8.6</v>
      </c>
      <c r="F7" s="17" t="s">
        <v>294</v>
      </c>
      <c r="G7" s="18">
        <v>0.5</v>
      </c>
      <c r="H7" s="20">
        <v>6465</v>
      </c>
      <c r="I7" s="18">
        <v>1</v>
      </c>
      <c r="J7" s="17" t="s">
        <v>305</v>
      </c>
      <c r="K7" s="18">
        <v>0.5</v>
      </c>
      <c r="L7" s="17" t="s">
        <v>306</v>
      </c>
      <c r="M7" s="18">
        <v>1</v>
      </c>
      <c r="N7" s="17" t="s">
        <v>285</v>
      </c>
      <c r="O7" s="18">
        <v>1</v>
      </c>
      <c r="P7" s="17" t="s">
        <v>307</v>
      </c>
      <c r="Q7" s="18">
        <v>1</v>
      </c>
      <c r="R7" s="17" t="s">
        <v>308</v>
      </c>
      <c r="S7" s="18">
        <v>1</v>
      </c>
      <c r="T7" s="23" t="s">
        <v>309</v>
      </c>
      <c r="U7" s="5"/>
      <c r="V7" s="5"/>
      <c r="W7" s="5"/>
      <c r="X7" s="5"/>
      <c r="Y7" s="5"/>
      <c r="Z7" s="5"/>
    </row>
    <row r="8" spans="1:26" ht="15.75" thickBot="1" x14ac:dyDescent="0.3">
      <c r="A8" s="11">
        <v>46286.462557870371</v>
      </c>
      <c r="B8" s="12" t="s">
        <v>310</v>
      </c>
      <c r="C8" s="12" t="s">
        <v>311</v>
      </c>
      <c r="D8" s="12" t="s">
        <v>312</v>
      </c>
      <c r="E8" s="44">
        <v>9.3000000000000007</v>
      </c>
      <c r="F8" s="12" t="s">
        <v>313</v>
      </c>
      <c r="G8" s="13">
        <v>0.5</v>
      </c>
      <c r="H8" s="14">
        <v>6465</v>
      </c>
      <c r="I8" s="13">
        <v>1</v>
      </c>
      <c r="J8" s="12" t="s">
        <v>276</v>
      </c>
      <c r="K8" s="13">
        <v>1</v>
      </c>
      <c r="L8" s="12" t="s">
        <v>277</v>
      </c>
      <c r="M8" s="13">
        <v>1</v>
      </c>
      <c r="N8" s="12" t="s">
        <v>278</v>
      </c>
      <c r="O8" s="13">
        <v>1</v>
      </c>
      <c r="P8" s="12" t="s">
        <v>292</v>
      </c>
      <c r="Q8" s="13">
        <v>1</v>
      </c>
      <c r="R8" s="12" t="s">
        <v>293</v>
      </c>
      <c r="S8" s="13">
        <v>1</v>
      </c>
      <c r="T8" s="15"/>
      <c r="U8" s="5"/>
      <c r="V8" s="5"/>
      <c r="W8" s="5"/>
      <c r="X8" s="5"/>
      <c r="Y8" s="5"/>
      <c r="Z8" s="5"/>
    </row>
    <row r="9" spans="1:26" ht="15.75" thickBot="1" x14ac:dyDescent="0.3">
      <c r="A9" s="16">
        <v>46286.550451388888</v>
      </c>
      <c r="B9" s="17" t="s">
        <v>65</v>
      </c>
      <c r="C9" s="17" t="s">
        <v>66</v>
      </c>
      <c r="D9" s="17" t="s">
        <v>67</v>
      </c>
      <c r="E9" s="45">
        <v>9.3000000000000007</v>
      </c>
      <c r="F9" s="17" t="s">
        <v>313</v>
      </c>
      <c r="G9" s="18">
        <v>0.5</v>
      </c>
      <c r="H9" s="20">
        <v>6465</v>
      </c>
      <c r="I9" s="18">
        <v>1</v>
      </c>
      <c r="J9" s="17" t="s">
        <v>276</v>
      </c>
      <c r="K9" s="18">
        <v>1</v>
      </c>
      <c r="L9" s="17" t="s">
        <v>277</v>
      </c>
      <c r="M9" s="18">
        <v>1</v>
      </c>
      <c r="N9" s="17" t="s">
        <v>278</v>
      </c>
      <c r="O9" s="18">
        <v>1</v>
      </c>
      <c r="P9" s="17" t="s">
        <v>292</v>
      </c>
      <c r="Q9" s="18">
        <v>1</v>
      </c>
      <c r="R9" s="17" t="s">
        <v>293</v>
      </c>
      <c r="S9" s="18">
        <v>1</v>
      </c>
      <c r="T9" s="21"/>
      <c r="U9" s="5"/>
      <c r="V9" s="5"/>
      <c r="W9" s="5"/>
      <c r="X9" s="5"/>
      <c r="Y9" s="5"/>
      <c r="Z9" s="5"/>
    </row>
    <row r="10" spans="1:26" ht="15.75" thickBot="1" x14ac:dyDescent="0.3">
      <c r="A10" s="11">
        <v>46286.992222222223</v>
      </c>
      <c r="B10" s="12" t="s">
        <v>74</v>
      </c>
      <c r="C10" s="12" t="s">
        <v>75</v>
      </c>
      <c r="D10" s="12" t="s">
        <v>76</v>
      </c>
      <c r="E10" s="44">
        <v>7.9</v>
      </c>
      <c r="F10" s="12" t="s">
        <v>300</v>
      </c>
      <c r="G10" s="13">
        <v>0</v>
      </c>
      <c r="H10" s="14">
        <v>6465</v>
      </c>
      <c r="I10" s="13">
        <v>1</v>
      </c>
      <c r="J10" s="12" t="s">
        <v>301</v>
      </c>
      <c r="K10" s="13">
        <v>0.5</v>
      </c>
      <c r="L10" s="12" t="s">
        <v>277</v>
      </c>
      <c r="M10" s="13">
        <v>1</v>
      </c>
      <c r="N10" s="12" t="s">
        <v>278</v>
      </c>
      <c r="O10" s="13">
        <v>1</v>
      </c>
      <c r="P10" s="12" t="s">
        <v>314</v>
      </c>
      <c r="Q10" s="13">
        <v>1</v>
      </c>
      <c r="R10" s="12" t="s">
        <v>315</v>
      </c>
      <c r="S10" s="13">
        <v>1</v>
      </c>
      <c r="T10" s="15"/>
      <c r="U10" s="5"/>
      <c r="V10" s="5"/>
      <c r="W10" s="5"/>
      <c r="X10" s="5"/>
      <c r="Y10" s="5"/>
      <c r="Z10" s="5"/>
    </row>
    <row r="11" spans="1:26" ht="15.75" thickBot="1" x14ac:dyDescent="0.3">
      <c r="A11" s="16">
        <v>46285.611296296294</v>
      </c>
      <c r="B11" s="17" t="s">
        <v>82</v>
      </c>
      <c r="C11" s="17" t="s">
        <v>83</v>
      </c>
      <c r="D11" s="17" t="s">
        <v>84</v>
      </c>
      <c r="E11" s="45">
        <v>9.3000000000000007</v>
      </c>
      <c r="F11" s="17" t="s">
        <v>316</v>
      </c>
      <c r="G11" s="18">
        <v>0.5</v>
      </c>
      <c r="H11" s="20">
        <v>6465</v>
      </c>
      <c r="I11" s="18">
        <v>1</v>
      </c>
      <c r="J11" s="17" t="s">
        <v>276</v>
      </c>
      <c r="K11" s="18">
        <v>1</v>
      </c>
      <c r="L11" s="17" t="s">
        <v>317</v>
      </c>
      <c r="M11" s="18">
        <v>1</v>
      </c>
      <c r="N11" s="17" t="s">
        <v>318</v>
      </c>
      <c r="O11" s="18">
        <v>1</v>
      </c>
      <c r="P11" s="17" t="s">
        <v>314</v>
      </c>
      <c r="Q11" s="18">
        <v>1</v>
      </c>
      <c r="R11" s="17" t="s">
        <v>319</v>
      </c>
      <c r="S11" s="18">
        <v>1</v>
      </c>
      <c r="T11" s="21"/>
      <c r="U11" s="5"/>
      <c r="V11" s="5"/>
      <c r="W11" s="5"/>
      <c r="X11" s="5"/>
      <c r="Y11" s="5"/>
      <c r="Z11" s="5"/>
    </row>
    <row r="12" spans="1:26" ht="15.75" thickBot="1" x14ac:dyDescent="0.3">
      <c r="A12" s="11">
        <v>46285.802361111113</v>
      </c>
      <c r="B12" s="12" t="s">
        <v>87</v>
      </c>
      <c r="C12" s="12" t="s">
        <v>88</v>
      </c>
      <c r="D12" s="12" t="s">
        <v>320</v>
      </c>
      <c r="E12" s="44">
        <v>7.9</v>
      </c>
      <c r="F12" s="12" t="s">
        <v>300</v>
      </c>
      <c r="G12" s="13">
        <v>0</v>
      </c>
      <c r="H12" s="14">
        <v>6465</v>
      </c>
      <c r="I12" s="13">
        <v>1</v>
      </c>
      <c r="J12" s="12" t="s">
        <v>301</v>
      </c>
      <c r="K12" s="13">
        <v>0.5</v>
      </c>
      <c r="L12" s="12" t="s">
        <v>277</v>
      </c>
      <c r="M12" s="13">
        <v>1</v>
      </c>
      <c r="N12" s="12" t="s">
        <v>278</v>
      </c>
      <c r="O12" s="13">
        <v>1</v>
      </c>
      <c r="P12" s="12" t="s">
        <v>314</v>
      </c>
      <c r="Q12" s="13">
        <v>1</v>
      </c>
      <c r="R12" s="12" t="s">
        <v>315</v>
      </c>
      <c r="S12" s="13">
        <v>1</v>
      </c>
      <c r="T12" s="15"/>
      <c r="U12" s="5"/>
      <c r="V12" s="5"/>
      <c r="W12" s="5"/>
      <c r="X12" s="5"/>
      <c r="Y12" s="5"/>
      <c r="Z12" s="5"/>
    </row>
    <row r="13" spans="1:26" ht="15.75" thickBot="1" x14ac:dyDescent="0.3">
      <c r="A13" s="16">
        <v>46283.829293981478</v>
      </c>
      <c r="B13" s="17" t="s">
        <v>93</v>
      </c>
      <c r="C13" s="17" t="s">
        <v>94</v>
      </c>
      <c r="D13" s="17" t="s">
        <v>95</v>
      </c>
      <c r="E13" s="45">
        <v>9.3000000000000007</v>
      </c>
      <c r="F13" s="17" t="s">
        <v>313</v>
      </c>
      <c r="G13" s="18">
        <v>0.5</v>
      </c>
      <c r="H13" s="20">
        <v>6465</v>
      </c>
      <c r="I13" s="18">
        <v>1</v>
      </c>
      <c r="J13" s="17" t="s">
        <v>276</v>
      </c>
      <c r="K13" s="18">
        <v>1</v>
      </c>
      <c r="L13" s="17" t="s">
        <v>277</v>
      </c>
      <c r="M13" s="18">
        <v>1</v>
      </c>
      <c r="N13" s="17" t="s">
        <v>278</v>
      </c>
      <c r="O13" s="18">
        <v>1</v>
      </c>
      <c r="P13" s="17" t="s">
        <v>292</v>
      </c>
      <c r="Q13" s="18">
        <v>1</v>
      </c>
      <c r="R13" s="17" t="s">
        <v>293</v>
      </c>
      <c r="S13" s="18">
        <v>1</v>
      </c>
      <c r="T13" s="21"/>
      <c r="U13" s="5"/>
      <c r="V13" s="5"/>
      <c r="W13" s="5"/>
      <c r="X13" s="5"/>
      <c r="Y13" s="5"/>
      <c r="Z13" s="5"/>
    </row>
    <row r="14" spans="1:26" ht="15.75" thickBot="1" x14ac:dyDescent="0.3">
      <c r="A14" s="11">
        <v>46284.72923611111</v>
      </c>
      <c r="B14" s="12" t="s">
        <v>99</v>
      </c>
      <c r="C14" s="12" t="s">
        <v>100</v>
      </c>
      <c r="D14" s="12" t="s">
        <v>101</v>
      </c>
      <c r="E14" s="44">
        <v>7.9</v>
      </c>
      <c r="F14" s="12" t="s">
        <v>321</v>
      </c>
      <c r="G14" s="13">
        <v>0.5</v>
      </c>
      <c r="H14" s="14">
        <v>6465</v>
      </c>
      <c r="I14" s="13">
        <v>1</v>
      </c>
      <c r="J14" s="12" t="s">
        <v>322</v>
      </c>
      <c r="K14" s="13">
        <v>0</v>
      </c>
      <c r="L14" s="12" t="s">
        <v>323</v>
      </c>
      <c r="M14" s="13">
        <v>1</v>
      </c>
      <c r="N14" s="12" t="s">
        <v>285</v>
      </c>
      <c r="O14" s="13">
        <v>1</v>
      </c>
      <c r="P14" s="12" t="s">
        <v>307</v>
      </c>
      <c r="Q14" s="13">
        <v>1</v>
      </c>
      <c r="R14" s="12" t="s">
        <v>308</v>
      </c>
      <c r="S14" s="13">
        <v>1</v>
      </c>
      <c r="T14" s="15"/>
      <c r="U14" s="5"/>
      <c r="V14" s="5"/>
      <c r="W14" s="5"/>
      <c r="X14" s="5"/>
      <c r="Y14" s="5"/>
      <c r="Z14" s="5"/>
    </row>
    <row r="15" spans="1:26" ht="15.75" thickBot="1" x14ac:dyDescent="0.3">
      <c r="A15" s="16">
        <v>46285.85460648148</v>
      </c>
      <c r="B15" s="17" t="s">
        <v>104</v>
      </c>
      <c r="C15" s="17" t="s">
        <v>105</v>
      </c>
      <c r="D15" s="17" t="s">
        <v>106</v>
      </c>
      <c r="E15" s="45">
        <v>8.6</v>
      </c>
      <c r="F15" s="17" t="s">
        <v>294</v>
      </c>
      <c r="G15" s="18">
        <v>0.5</v>
      </c>
      <c r="H15" s="20">
        <v>6465</v>
      </c>
      <c r="I15" s="18">
        <v>1</v>
      </c>
      <c r="J15" s="17" t="s">
        <v>305</v>
      </c>
      <c r="K15" s="18">
        <v>0.5</v>
      </c>
      <c r="L15" s="17" t="s">
        <v>306</v>
      </c>
      <c r="M15" s="18">
        <v>1</v>
      </c>
      <c r="N15" s="17" t="s">
        <v>285</v>
      </c>
      <c r="O15" s="18">
        <v>1</v>
      </c>
      <c r="P15" s="17" t="s">
        <v>292</v>
      </c>
      <c r="Q15" s="18">
        <v>1</v>
      </c>
      <c r="R15" s="17" t="s">
        <v>324</v>
      </c>
      <c r="S15" s="18">
        <v>1</v>
      </c>
      <c r="T15" s="21"/>
      <c r="U15" s="5"/>
      <c r="V15" s="5"/>
      <c r="W15" s="5"/>
      <c r="X15" s="5"/>
      <c r="Y15" s="5"/>
      <c r="Z15" s="5"/>
    </row>
    <row r="16" spans="1:26" ht="15.75" thickBot="1" x14ac:dyDescent="0.3">
      <c r="A16" s="11">
        <v>46285.871168981481</v>
      </c>
      <c r="B16" s="12" t="s">
        <v>325</v>
      </c>
      <c r="C16" s="12" t="s">
        <v>113</v>
      </c>
      <c r="D16" s="12" t="s">
        <v>114</v>
      </c>
      <c r="E16" s="44">
        <v>9.3000000000000007</v>
      </c>
      <c r="F16" s="12" t="s">
        <v>313</v>
      </c>
      <c r="G16" s="13">
        <v>0.5</v>
      </c>
      <c r="H16" s="14">
        <v>6465</v>
      </c>
      <c r="I16" s="13">
        <v>1</v>
      </c>
      <c r="J16" s="12" t="s">
        <v>276</v>
      </c>
      <c r="K16" s="13">
        <v>1</v>
      </c>
      <c r="L16" s="12" t="s">
        <v>277</v>
      </c>
      <c r="M16" s="13">
        <v>1</v>
      </c>
      <c r="N16" s="12" t="s">
        <v>278</v>
      </c>
      <c r="O16" s="13">
        <v>1</v>
      </c>
      <c r="P16" s="12" t="s">
        <v>292</v>
      </c>
      <c r="Q16" s="13">
        <v>1</v>
      </c>
      <c r="R16" s="12" t="s">
        <v>293</v>
      </c>
      <c r="S16" s="13">
        <v>1</v>
      </c>
      <c r="T16" s="15"/>
      <c r="U16" s="5"/>
      <c r="V16" s="5"/>
      <c r="W16" s="5"/>
      <c r="X16" s="5"/>
      <c r="Y16" s="5"/>
      <c r="Z16" s="5"/>
    </row>
    <row r="17" spans="1:26" ht="15.75" thickBot="1" x14ac:dyDescent="0.3">
      <c r="A17" s="16">
        <v>46286.911793981482</v>
      </c>
      <c r="B17" s="17" t="s">
        <v>118</v>
      </c>
      <c r="C17" s="17" t="s">
        <v>119</v>
      </c>
      <c r="D17" s="17" t="s">
        <v>120</v>
      </c>
      <c r="E17" s="45">
        <v>8.6</v>
      </c>
      <c r="F17" s="17" t="s">
        <v>313</v>
      </c>
      <c r="G17" s="18">
        <v>0.5</v>
      </c>
      <c r="H17" s="20">
        <v>6465</v>
      </c>
      <c r="I17" s="18">
        <v>1</v>
      </c>
      <c r="J17" s="17" t="s">
        <v>326</v>
      </c>
      <c r="K17" s="18">
        <v>0.5</v>
      </c>
      <c r="L17" s="17" t="s">
        <v>327</v>
      </c>
      <c r="M17" s="18">
        <v>1</v>
      </c>
      <c r="N17" s="17" t="s">
        <v>285</v>
      </c>
      <c r="O17" s="18">
        <v>1</v>
      </c>
      <c r="P17" s="17" t="s">
        <v>328</v>
      </c>
      <c r="Q17" s="18">
        <v>1</v>
      </c>
      <c r="R17" s="17" t="s">
        <v>329</v>
      </c>
      <c r="S17" s="18">
        <v>1</v>
      </c>
      <c r="T17" s="21"/>
      <c r="U17" s="5"/>
      <c r="V17" s="5"/>
      <c r="W17" s="5"/>
      <c r="X17" s="5"/>
      <c r="Y17" s="5"/>
      <c r="Z17" s="5"/>
    </row>
    <row r="18" spans="1:26" ht="15.75" thickBot="1" x14ac:dyDescent="0.3">
      <c r="A18" s="11">
        <v>46286.851770833331</v>
      </c>
      <c r="B18" s="12" t="s">
        <v>126</v>
      </c>
      <c r="C18" s="12" t="s">
        <v>127</v>
      </c>
      <c r="D18" s="12" t="s">
        <v>128</v>
      </c>
      <c r="E18" s="44">
        <v>8.6</v>
      </c>
      <c r="F18" s="12" t="s">
        <v>294</v>
      </c>
      <c r="G18" s="13">
        <v>0.5</v>
      </c>
      <c r="H18" s="14">
        <v>6465</v>
      </c>
      <c r="I18" s="13">
        <v>1</v>
      </c>
      <c r="J18" s="12" t="s">
        <v>305</v>
      </c>
      <c r="K18" s="13">
        <v>0.5</v>
      </c>
      <c r="L18" s="12" t="s">
        <v>306</v>
      </c>
      <c r="M18" s="13">
        <v>1</v>
      </c>
      <c r="N18" s="12" t="s">
        <v>285</v>
      </c>
      <c r="O18" s="13">
        <v>1</v>
      </c>
      <c r="P18" s="12" t="s">
        <v>279</v>
      </c>
      <c r="Q18" s="13">
        <v>1</v>
      </c>
      <c r="R18" s="12" t="s">
        <v>330</v>
      </c>
      <c r="S18" s="13">
        <v>1</v>
      </c>
      <c r="T18" s="15"/>
      <c r="U18" s="5"/>
      <c r="V18" s="5"/>
      <c r="W18" s="5"/>
      <c r="X18" s="5"/>
      <c r="Y18" s="5"/>
      <c r="Z18" s="5"/>
    </row>
    <row r="19" spans="1:26" ht="15.75" thickBot="1" x14ac:dyDescent="0.3">
      <c r="A19" s="16">
        <v>46286.897592592592</v>
      </c>
      <c r="B19" s="17" t="s">
        <v>331</v>
      </c>
      <c r="C19" s="17" t="s">
        <v>132</v>
      </c>
      <c r="D19" s="17" t="s">
        <v>133</v>
      </c>
      <c r="E19" s="45">
        <v>9.3000000000000007</v>
      </c>
      <c r="F19" s="17" t="s">
        <v>316</v>
      </c>
      <c r="G19" s="18">
        <v>0.5</v>
      </c>
      <c r="H19" s="20">
        <v>6465</v>
      </c>
      <c r="I19" s="18">
        <v>1</v>
      </c>
      <c r="J19" s="17" t="s">
        <v>276</v>
      </c>
      <c r="K19" s="18">
        <v>1</v>
      </c>
      <c r="L19" s="17" t="s">
        <v>277</v>
      </c>
      <c r="M19" s="18">
        <v>1</v>
      </c>
      <c r="N19" s="17" t="s">
        <v>278</v>
      </c>
      <c r="O19" s="18">
        <v>1</v>
      </c>
      <c r="P19" s="17" t="s">
        <v>292</v>
      </c>
      <c r="Q19" s="18">
        <v>1</v>
      </c>
      <c r="R19" s="17" t="s">
        <v>293</v>
      </c>
      <c r="S19" s="18">
        <v>1</v>
      </c>
      <c r="T19" s="21"/>
      <c r="U19" s="5"/>
      <c r="V19" s="5"/>
      <c r="W19" s="5"/>
      <c r="X19" s="5"/>
      <c r="Y19" s="5"/>
      <c r="Z19" s="5"/>
    </row>
    <row r="20" spans="1:26" ht="15.75" thickBot="1" x14ac:dyDescent="0.3">
      <c r="A20" s="11">
        <v>46285.533194444448</v>
      </c>
      <c r="B20" s="12" t="s">
        <v>137</v>
      </c>
      <c r="C20" s="12" t="s">
        <v>138</v>
      </c>
      <c r="D20" s="12" t="s">
        <v>139</v>
      </c>
      <c r="E20" s="44">
        <v>8.6</v>
      </c>
      <c r="F20" s="12" t="s">
        <v>321</v>
      </c>
      <c r="G20" s="13">
        <v>0.5</v>
      </c>
      <c r="H20" s="14">
        <v>6465</v>
      </c>
      <c r="I20" s="13">
        <v>1</v>
      </c>
      <c r="J20" s="12" t="s">
        <v>332</v>
      </c>
      <c r="K20" s="13">
        <v>0.5</v>
      </c>
      <c r="L20" s="12" t="s">
        <v>333</v>
      </c>
      <c r="M20" s="13">
        <v>1</v>
      </c>
      <c r="N20" s="12" t="s">
        <v>278</v>
      </c>
      <c r="O20" s="13">
        <v>1</v>
      </c>
      <c r="P20" s="12" t="s">
        <v>334</v>
      </c>
      <c r="Q20" s="13">
        <v>1</v>
      </c>
      <c r="R20" s="12" t="s">
        <v>335</v>
      </c>
      <c r="S20" s="13">
        <v>1</v>
      </c>
      <c r="T20" s="15"/>
      <c r="U20" s="5"/>
      <c r="V20" s="5"/>
      <c r="W20" s="5"/>
      <c r="X20" s="5"/>
      <c r="Y20" s="5"/>
      <c r="Z20" s="5"/>
    </row>
    <row r="21" spans="1:26" ht="15.75" thickBot="1" x14ac:dyDescent="0.3">
      <c r="A21" s="16">
        <v>46284.728206018517</v>
      </c>
      <c r="B21" s="17" t="s">
        <v>142</v>
      </c>
      <c r="C21" s="17" t="s">
        <v>143</v>
      </c>
      <c r="D21" s="17" t="s">
        <v>144</v>
      </c>
      <c r="E21" s="45">
        <v>8.6</v>
      </c>
      <c r="F21" s="17" t="s">
        <v>336</v>
      </c>
      <c r="G21" s="18">
        <v>0.5</v>
      </c>
      <c r="H21" s="20">
        <v>6465</v>
      </c>
      <c r="I21" s="18">
        <v>1</v>
      </c>
      <c r="J21" s="17" t="s">
        <v>322</v>
      </c>
      <c r="K21" s="18">
        <v>0.5</v>
      </c>
      <c r="L21" s="17" t="s">
        <v>323</v>
      </c>
      <c r="M21" s="18">
        <v>1</v>
      </c>
      <c r="N21" s="17" t="s">
        <v>285</v>
      </c>
      <c r="O21" s="18">
        <v>1</v>
      </c>
      <c r="P21" s="17" t="s">
        <v>307</v>
      </c>
      <c r="Q21" s="18">
        <v>1</v>
      </c>
      <c r="R21" s="17" t="s">
        <v>308</v>
      </c>
      <c r="S21" s="18">
        <v>1</v>
      </c>
      <c r="T21" s="21"/>
      <c r="U21" s="5"/>
      <c r="V21" s="5"/>
      <c r="W21" s="5"/>
      <c r="X21" s="5"/>
      <c r="Y21" s="5"/>
      <c r="Z21" s="5"/>
    </row>
    <row r="22" spans="1:26" ht="15.75" thickBot="1" x14ac:dyDescent="0.3">
      <c r="A22" s="11">
        <v>46285.602627314816</v>
      </c>
      <c r="B22" s="12" t="s">
        <v>147</v>
      </c>
      <c r="C22" s="12" t="s">
        <v>337</v>
      </c>
      <c r="D22" s="12" t="s">
        <v>149</v>
      </c>
      <c r="E22" s="44">
        <v>8.6</v>
      </c>
      <c r="F22" s="12" t="s">
        <v>300</v>
      </c>
      <c r="G22" s="13">
        <v>0.5</v>
      </c>
      <c r="H22" s="14">
        <v>6465</v>
      </c>
      <c r="I22" s="13">
        <v>1</v>
      </c>
      <c r="J22" s="12" t="s">
        <v>338</v>
      </c>
      <c r="K22" s="13">
        <v>0.5</v>
      </c>
      <c r="L22" s="12" t="s">
        <v>277</v>
      </c>
      <c r="M22" s="13">
        <v>1</v>
      </c>
      <c r="N22" s="12" t="s">
        <v>278</v>
      </c>
      <c r="O22" s="13">
        <v>1</v>
      </c>
      <c r="P22" s="12" t="s">
        <v>314</v>
      </c>
      <c r="Q22" s="13">
        <v>1</v>
      </c>
      <c r="R22" s="12" t="s">
        <v>315</v>
      </c>
      <c r="S22" s="13">
        <v>1</v>
      </c>
      <c r="T22" s="36" t="s">
        <v>339</v>
      </c>
      <c r="U22" s="5"/>
      <c r="V22" s="5"/>
      <c r="W22" s="5"/>
      <c r="X22" s="5"/>
      <c r="Y22" s="5"/>
      <c r="Z22" s="5"/>
    </row>
    <row r="23" spans="1:26" ht="15.75" thickBot="1" x14ac:dyDescent="0.3">
      <c r="A23" s="16">
        <v>46284.727094907408</v>
      </c>
      <c r="B23" s="17" t="s">
        <v>154</v>
      </c>
      <c r="C23" s="17" t="s">
        <v>155</v>
      </c>
      <c r="D23" s="17" t="s">
        <v>156</v>
      </c>
      <c r="E23" s="45">
        <v>7.9</v>
      </c>
      <c r="F23" s="17" t="s">
        <v>294</v>
      </c>
      <c r="G23" s="18">
        <v>0.5</v>
      </c>
      <c r="H23" s="20">
        <v>6465</v>
      </c>
      <c r="I23" s="18">
        <v>1</v>
      </c>
      <c r="J23" s="17" t="s">
        <v>322</v>
      </c>
      <c r="K23" s="18">
        <v>0</v>
      </c>
      <c r="L23" s="17" t="s">
        <v>306</v>
      </c>
      <c r="M23" s="18">
        <v>1</v>
      </c>
      <c r="N23" s="17" t="s">
        <v>285</v>
      </c>
      <c r="O23" s="18">
        <v>1</v>
      </c>
      <c r="P23" s="17" t="s">
        <v>298</v>
      </c>
      <c r="Q23" s="18">
        <v>1</v>
      </c>
      <c r="R23" s="17" t="s">
        <v>308</v>
      </c>
      <c r="S23" s="18">
        <v>1</v>
      </c>
      <c r="T23" s="21"/>
      <c r="U23" s="5"/>
      <c r="V23" s="5"/>
      <c r="W23" s="5"/>
      <c r="X23" s="5"/>
      <c r="Y23" s="5"/>
      <c r="Z23" s="5"/>
    </row>
    <row r="24" spans="1:26" ht="15.75" thickBot="1" x14ac:dyDescent="0.3">
      <c r="A24" s="11">
        <v>46284.717152777775</v>
      </c>
      <c r="B24" s="12" t="s">
        <v>159</v>
      </c>
      <c r="C24" s="12" t="s">
        <v>160</v>
      </c>
      <c r="D24" s="12" t="s">
        <v>161</v>
      </c>
      <c r="E24" s="44">
        <v>9.3000000000000007</v>
      </c>
      <c r="F24" s="12" t="s">
        <v>340</v>
      </c>
      <c r="G24" s="13">
        <v>0.5</v>
      </c>
      <c r="H24" s="14">
        <v>6465</v>
      </c>
      <c r="I24" s="13">
        <v>1</v>
      </c>
      <c r="J24" s="12" t="s">
        <v>276</v>
      </c>
      <c r="K24" s="13">
        <v>1</v>
      </c>
      <c r="L24" s="12" t="s">
        <v>277</v>
      </c>
      <c r="M24" s="13">
        <v>1</v>
      </c>
      <c r="N24" s="12" t="s">
        <v>278</v>
      </c>
      <c r="O24" s="13">
        <v>1</v>
      </c>
      <c r="P24" s="12" t="s">
        <v>341</v>
      </c>
      <c r="Q24" s="13">
        <v>1</v>
      </c>
      <c r="R24" s="12" t="s">
        <v>342</v>
      </c>
      <c r="S24" s="13">
        <v>1</v>
      </c>
      <c r="T24" s="15"/>
      <c r="U24" s="5"/>
      <c r="V24" s="5"/>
      <c r="W24" s="5"/>
      <c r="X24" s="5"/>
      <c r="Y24" s="5"/>
      <c r="Z24" s="5"/>
    </row>
    <row r="25" spans="1:26" ht="15.75" thickBot="1" x14ac:dyDescent="0.3">
      <c r="A25" s="16">
        <v>46285.686076388891</v>
      </c>
      <c r="B25" s="17" t="s">
        <v>166</v>
      </c>
      <c r="C25" s="17" t="s">
        <v>167</v>
      </c>
      <c r="D25" s="17" t="s">
        <v>168</v>
      </c>
      <c r="E25" s="45">
        <v>9.3000000000000007</v>
      </c>
      <c r="F25" s="17" t="s">
        <v>313</v>
      </c>
      <c r="G25" s="18">
        <v>0.5</v>
      </c>
      <c r="H25" s="20">
        <v>6465</v>
      </c>
      <c r="I25" s="18">
        <v>1</v>
      </c>
      <c r="J25" s="17" t="s">
        <v>276</v>
      </c>
      <c r="K25" s="18">
        <v>1</v>
      </c>
      <c r="L25" s="17" t="s">
        <v>277</v>
      </c>
      <c r="M25" s="18">
        <v>1</v>
      </c>
      <c r="N25" s="17" t="s">
        <v>278</v>
      </c>
      <c r="O25" s="18">
        <v>1</v>
      </c>
      <c r="P25" s="17" t="s">
        <v>292</v>
      </c>
      <c r="Q25" s="18">
        <v>1</v>
      </c>
      <c r="R25" s="17" t="s">
        <v>293</v>
      </c>
      <c r="S25" s="18">
        <v>1</v>
      </c>
      <c r="T25" s="23" t="s">
        <v>343</v>
      </c>
      <c r="U25" s="5"/>
      <c r="V25" s="5"/>
      <c r="W25" s="5"/>
      <c r="X25" s="5"/>
      <c r="Y25" s="5"/>
      <c r="Z25" s="5"/>
    </row>
    <row r="26" spans="1:26" ht="15.75" thickBot="1" x14ac:dyDescent="0.3">
      <c r="A26" s="11">
        <v>46286.873738425929</v>
      </c>
      <c r="B26" s="12" t="s">
        <v>181</v>
      </c>
      <c r="C26" s="12" t="s">
        <v>182</v>
      </c>
      <c r="D26" s="12" t="s">
        <v>183</v>
      </c>
      <c r="E26" s="44">
        <v>8.6</v>
      </c>
      <c r="F26" s="12" t="s">
        <v>344</v>
      </c>
      <c r="G26" s="13">
        <v>0.5</v>
      </c>
      <c r="H26" s="14">
        <v>6465</v>
      </c>
      <c r="I26" s="13">
        <v>1</v>
      </c>
      <c r="J26" s="12" t="s">
        <v>305</v>
      </c>
      <c r="K26" s="13">
        <v>0.5</v>
      </c>
      <c r="L26" s="12" t="s">
        <v>345</v>
      </c>
      <c r="M26" s="13">
        <v>1</v>
      </c>
      <c r="N26" s="12" t="s">
        <v>318</v>
      </c>
      <c r="O26" s="13">
        <v>1</v>
      </c>
      <c r="P26" s="12" t="s">
        <v>279</v>
      </c>
      <c r="Q26" s="13">
        <v>1</v>
      </c>
      <c r="R26" s="12" t="s">
        <v>346</v>
      </c>
      <c r="S26" s="13">
        <v>1</v>
      </c>
      <c r="T26" s="15"/>
      <c r="U26" s="5"/>
      <c r="V26" s="5"/>
      <c r="W26" s="5"/>
      <c r="X26" s="5"/>
      <c r="Y26" s="5"/>
      <c r="Z26" s="5"/>
    </row>
    <row r="27" spans="1:26" ht="15.75" thickBot="1" x14ac:dyDescent="0.3">
      <c r="A27" s="16">
        <v>46286.918749999997</v>
      </c>
      <c r="B27" s="17" t="s">
        <v>189</v>
      </c>
      <c r="C27" s="17" t="s">
        <v>190</v>
      </c>
      <c r="D27" s="17" t="s">
        <v>191</v>
      </c>
      <c r="E27" s="45">
        <v>8.6</v>
      </c>
      <c r="F27" s="17" t="s">
        <v>316</v>
      </c>
      <c r="G27" s="18">
        <v>0.5</v>
      </c>
      <c r="H27" s="20">
        <v>6465</v>
      </c>
      <c r="I27" s="18">
        <v>1</v>
      </c>
      <c r="J27" s="17" t="s">
        <v>326</v>
      </c>
      <c r="K27" s="18">
        <v>0.5</v>
      </c>
      <c r="L27" s="17" t="s">
        <v>333</v>
      </c>
      <c r="M27" s="18">
        <v>1</v>
      </c>
      <c r="N27" s="17" t="s">
        <v>278</v>
      </c>
      <c r="O27" s="18">
        <v>1</v>
      </c>
      <c r="P27" s="17" t="s">
        <v>347</v>
      </c>
      <c r="Q27" s="18">
        <v>1</v>
      </c>
      <c r="R27" s="17" t="s">
        <v>348</v>
      </c>
      <c r="S27" s="18">
        <v>1</v>
      </c>
      <c r="T27" s="21"/>
      <c r="U27" s="5"/>
      <c r="V27" s="5"/>
      <c r="W27" s="5"/>
      <c r="X27" s="5"/>
      <c r="Y27" s="5"/>
      <c r="Z27" s="5"/>
    </row>
    <row r="28" spans="1:26" ht="15.75" thickBot="1" x14ac:dyDescent="0.3">
      <c r="A28" s="11">
        <v>46284.490543981483</v>
      </c>
      <c r="B28" s="12" t="s">
        <v>197</v>
      </c>
      <c r="C28" s="12" t="s">
        <v>198</v>
      </c>
      <c r="D28" s="12" t="s">
        <v>199</v>
      </c>
      <c r="E28" s="44">
        <v>9.3000000000000007</v>
      </c>
      <c r="F28" s="12" t="s">
        <v>316</v>
      </c>
      <c r="G28" s="13">
        <v>0.5</v>
      </c>
      <c r="H28" s="14">
        <v>6465</v>
      </c>
      <c r="I28" s="13">
        <v>1</v>
      </c>
      <c r="J28" s="12" t="s">
        <v>276</v>
      </c>
      <c r="K28" s="13">
        <v>1</v>
      </c>
      <c r="L28" s="12" t="s">
        <v>277</v>
      </c>
      <c r="M28" s="13">
        <v>1</v>
      </c>
      <c r="N28" s="12" t="s">
        <v>278</v>
      </c>
      <c r="O28" s="13">
        <v>1</v>
      </c>
      <c r="P28" s="12" t="s">
        <v>292</v>
      </c>
      <c r="Q28" s="13">
        <v>1</v>
      </c>
      <c r="R28" s="12" t="s">
        <v>293</v>
      </c>
      <c r="S28" s="13">
        <v>1</v>
      </c>
      <c r="T28" s="15"/>
      <c r="U28" s="5"/>
      <c r="V28" s="5"/>
      <c r="W28" s="5"/>
      <c r="X28" s="5"/>
      <c r="Y28" s="5"/>
      <c r="Z28" s="5"/>
    </row>
    <row r="29" spans="1:26" ht="15.75" thickBot="1" x14ac:dyDescent="0.3">
      <c r="A29" s="16">
        <v>46286.877997685187</v>
      </c>
      <c r="B29" s="17" t="s">
        <v>203</v>
      </c>
      <c r="C29" s="17" t="s">
        <v>204</v>
      </c>
      <c r="D29" s="17" t="s">
        <v>205</v>
      </c>
      <c r="E29" s="45">
        <v>9.3000000000000007</v>
      </c>
      <c r="F29" s="17" t="s">
        <v>275</v>
      </c>
      <c r="G29" s="18">
        <v>0.5</v>
      </c>
      <c r="H29" s="20">
        <v>6465</v>
      </c>
      <c r="I29" s="18">
        <v>1</v>
      </c>
      <c r="J29" s="17" t="s">
        <v>276</v>
      </c>
      <c r="K29" s="18">
        <v>1</v>
      </c>
      <c r="L29" s="17" t="s">
        <v>349</v>
      </c>
      <c r="M29" s="18">
        <v>1</v>
      </c>
      <c r="N29" s="17" t="s">
        <v>278</v>
      </c>
      <c r="O29" s="18">
        <v>1</v>
      </c>
      <c r="P29" s="17" t="s">
        <v>350</v>
      </c>
      <c r="Q29" s="18">
        <v>1</v>
      </c>
      <c r="R29" s="17" t="s">
        <v>351</v>
      </c>
      <c r="S29" s="18">
        <v>1</v>
      </c>
      <c r="T29" s="37" t="s">
        <v>352</v>
      </c>
      <c r="U29" s="5"/>
      <c r="V29" s="5"/>
      <c r="W29" s="5"/>
      <c r="X29" s="5"/>
      <c r="Y29" s="5"/>
      <c r="Z29" s="5"/>
    </row>
    <row r="30" spans="1:26" ht="15.75" thickBot="1" x14ac:dyDescent="0.3">
      <c r="A30" s="11">
        <v>46285.70716435185</v>
      </c>
      <c r="B30" s="12" t="s">
        <v>210</v>
      </c>
      <c r="C30" s="12" t="s">
        <v>211</v>
      </c>
      <c r="D30" s="12" t="s">
        <v>212</v>
      </c>
      <c r="E30" s="44">
        <v>9.3000000000000007</v>
      </c>
      <c r="F30" s="12" t="s">
        <v>313</v>
      </c>
      <c r="G30" s="13">
        <v>0.5</v>
      </c>
      <c r="H30" s="14">
        <v>6465</v>
      </c>
      <c r="I30" s="13">
        <v>1</v>
      </c>
      <c r="J30" s="12" t="s">
        <v>276</v>
      </c>
      <c r="K30" s="13">
        <v>1</v>
      </c>
      <c r="L30" s="12" t="s">
        <v>277</v>
      </c>
      <c r="M30" s="13">
        <v>1</v>
      </c>
      <c r="N30" s="12" t="s">
        <v>278</v>
      </c>
      <c r="O30" s="13">
        <v>1</v>
      </c>
      <c r="P30" s="12" t="s">
        <v>292</v>
      </c>
      <c r="Q30" s="13">
        <v>1</v>
      </c>
      <c r="R30" s="12" t="s">
        <v>293</v>
      </c>
      <c r="S30" s="13">
        <v>1</v>
      </c>
      <c r="T30" s="15"/>
      <c r="U30" s="5"/>
      <c r="V30" s="5"/>
      <c r="W30" s="5"/>
      <c r="X30" s="5"/>
      <c r="Y30" s="5"/>
      <c r="Z30" s="5"/>
    </row>
    <row r="31" spans="1:26" ht="15.75" thickBot="1" x14ac:dyDescent="0.3">
      <c r="A31" s="16">
        <v>46286.871921296297</v>
      </c>
      <c r="B31" s="17" t="s">
        <v>353</v>
      </c>
      <c r="C31" s="17" t="s">
        <v>216</v>
      </c>
      <c r="D31" s="17" t="s">
        <v>217</v>
      </c>
      <c r="E31" s="45">
        <v>9.3000000000000007</v>
      </c>
      <c r="F31" s="17" t="s">
        <v>275</v>
      </c>
      <c r="G31" s="18">
        <v>0.5</v>
      </c>
      <c r="H31" s="20">
        <v>6465</v>
      </c>
      <c r="I31" s="18">
        <v>1</v>
      </c>
      <c r="J31" s="17" t="s">
        <v>354</v>
      </c>
      <c r="K31" s="18">
        <v>1</v>
      </c>
      <c r="L31" s="17" t="s">
        <v>277</v>
      </c>
      <c r="M31" s="18">
        <v>1</v>
      </c>
      <c r="N31" s="17" t="s">
        <v>278</v>
      </c>
      <c r="O31" s="18">
        <v>1</v>
      </c>
      <c r="P31" s="17" t="s">
        <v>279</v>
      </c>
      <c r="Q31" s="18">
        <v>1</v>
      </c>
      <c r="R31" s="17" t="s">
        <v>355</v>
      </c>
      <c r="S31" s="18">
        <v>1</v>
      </c>
      <c r="T31" s="37" t="s">
        <v>356</v>
      </c>
      <c r="U31" s="5"/>
      <c r="V31" s="5"/>
      <c r="W31" s="5"/>
      <c r="X31" s="5"/>
      <c r="Y31" s="5"/>
      <c r="Z31" s="5"/>
    </row>
    <row r="32" spans="1:26" ht="15.75" thickBot="1" x14ac:dyDescent="0.3">
      <c r="A32" s="11">
        <v>46286.869849537034</v>
      </c>
      <c r="B32" s="12" t="s">
        <v>221</v>
      </c>
      <c r="C32" s="12" t="s">
        <v>222</v>
      </c>
      <c r="D32" s="12" t="s">
        <v>223</v>
      </c>
      <c r="E32" s="44">
        <v>9.3000000000000007</v>
      </c>
      <c r="F32" s="12" t="s">
        <v>316</v>
      </c>
      <c r="G32" s="13">
        <v>0.5</v>
      </c>
      <c r="H32" s="14">
        <v>6465</v>
      </c>
      <c r="I32" s="13">
        <v>1</v>
      </c>
      <c r="J32" s="12" t="s">
        <v>276</v>
      </c>
      <c r="K32" s="13">
        <v>1</v>
      </c>
      <c r="L32" s="12" t="s">
        <v>277</v>
      </c>
      <c r="M32" s="13">
        <v>1</v>
      </c>
      <c r="N32" s="12" t="s">
        <v>278</v>
      </c>
      <c r="O32" s="13">
        <v>1</v>
      </c>
      <c r="P32" s="12" t="s">
        <v>357</v>
      </c>
      <c r="Q32" s="13">
        <v>1</v>
      </c>
      <c r="R32" s="12" t="s">
        <v>358</v>
      </c>
      <c r="S32" s="13">
        <v>1</v>
      </c>
      <c r="T32" s="36" t="s">
        <v>359</v>
      </c>
      <c r="U32" s="5"/>
      <c r="V32" s="5"/>
      <c r="W32" s="5"/>
      <c r="X32" s="5"/>
      <c r="Y32" s="5"/>
      <c r="Z32" s="5"/>
    </row>
    <row r="33" spans="1:26" ht="15.75" thickBot="1" x14ac:dyDescent="0.3">
      <c r="A33" s="16">
        <v>46286.043530092589</v>
      </c>
      <c r="B33" s="17" t="s">
        <v>360</v>
      </c>
      <c r="C33" s="17" t="s">
        <v>230</v>
      </c>
      <c r="D33" s="17" t="s">
        <v>231</v>
      </c>
      <c r="E33" s="45">
        <v>7.9</v>
      </c>
      <c r="F33" s="17" t="s">
        <v>361</v>
      </c>
      <c r="G33" s="18">
        <v>0.5</v>
      </c>
      <c r="H33" s="20">
        <v>6465</v>
      </c>
      <c r="I33" s="18">
        <v>1</v>
      </c>
      <c r="J33" s="17" t="s">
        <v>362</v>
      </c>
      <c r="K33" s="18">
        <v>0</v>
      </c>
      <c r="L33" s="17" t="s">
        <v>277</v>
      </c>
      <c r="M33" s="18">
        <v>1</v>
      </c>
      <c r="N33" s="17" t="s">
        <v>278</v>
      </c>
      <c r="O33" s="18">
        <v>1</v>
      </c>
      <c r="P33" s="17" t="s">
        <v>279</v>
      </c>
      <c r="Q33" s="18">
        <v>1</v>
      </c>
      <c r="R33" s="17" t="s">
        <v>363</v>
      </c>
      <c r="S33" s="18">
        <v>1</v>
      </c>
      <c r="T33" s="21"/>
      <c r="U33" s="5"/>
      <c r="V33" s="5"/>
      <c r="W33" s="5"/>
      <c r="X33" s="5"/>
      <c r="Y33" s="5"/>
      <c r="Z33" s="5"/>
    </row>
    <row r="34" spans="1:26" ht="15.75" thickBot="1" x14ac:dyDescent="0.3">
      <c r="A34" s="11">
        <v>46286.385335648149</v>
      </c>
      <c r="B34" s="12" t="s">
        <v>239</v>
      </c>
      <c r="C34" s="12" t="s">
        <v>240</v>
      </c>
      <c r="D34" s="12" t="s">
        <v>241</v>
      </c>
      <c r="E34" s="44">
        <v>7.9</v>
      </c>
      <c r="F34" s="12" t="s">
        <v>364</v>
      </c>
      <c r="G34" s="13">
        <v>0.5</v>
      </c>
      <c r="H34" s="14">
        <v>6465</v>
      </c>
      <c r="I34" s="13">
        <v>1</v>
      </c>
      <c r="J34" s="12" t="s">
        <v>365</v>
      </c>
      <c r="K34" s="13">
        <v>0</v>
      </c>
      <c r="L34" s="12" t="s">
        <v>306</v>
      </c>
      <c r="M34" s="13">
        <v>1</v>
      </c>
      <c r="N34" s="12" t="s">
        <v>285</v>
      </c>
      <c r="O34" s="13">
        <v>1</v>
      </c>
      <c r="P34" s="12" t="s">
        <v>292</v>
      </c>
      <c r="Q34" s="13">
        <v>1</v>
      </c>
      <c r="R34" s="12" t="s">
        <v>324</v>
      </c>
      <c r="S34" s="13">
        <v>1</v>
      </c>
      <c r="T34" s="15"/>
      <c r="U34" s="5"/>
      <c r="V34" s="5"/>
      <c r="W34" s="5"/>
      <c r="X34" s="5"/>
      <c r="Y34" s="5"/>
      <c r="Z34" s="5"/>
    </row>
    <row r="35" spans="1:26" ht="15.75" thickBot="1" x14ac:dyDescent="0.3">
      <c r="A35" s="16">
        <v>46285.877870370372</v>
      </c>
      <c r="B35" s="17" t="s">
        <v>245</v>
      </c>
      <c r="C35" s="17" t="s">
        <v>366</v>
      </c>
      <c r="D35" s="17" t="s">
        <v>247</v>
      </c>
      <c r="E35" s="45">
        <v>7.9</v>
      </c>
      <c r="F35" s="17" t="s">
        <v>364</v>
      </c>
      <c r="G35" s="18">
        <v>0.5</v>
      </c>
      <c r="H35" s="20">
        <v>6465</v>
      </c>
      <c r="I35" s="18">
        <v>1</v>
      </c>
      <c r="J35" s="17" t="s">
        <v>367</v>
      </c>
      <c r="K35" s="18">
        <v>0</v>
      </c>
      <c r="L35" s="17" t="s">
        <v>368</v>
      </c>
      <c r="M35" s="18">
        <v>1</v>
      </c>
      <c r="N35" s="17" t="s">
        <v>285</v>
      </c>
      <c r="O35" s="18">
        <v>1</v>
      </c>
      <c r="P35" s="17" t="s">
        <v>369</v>
      </c>
      <c r="Q35" s="18">
        <v>1</v>
      </c>
      <c r="R35" s="17" t="s">
        <v>370</v>
      </c>
      <c r="S35" s="18">
        <v>1</v>
      </c>
      <c r="T35" s="21"/>
      <c r="U35" s="5"/>
      <c r="V35" s="5"/>
      <c r="W35" s="5"/>
      <c r="X35" s="5"/>
      <c r="Y35" s="5"/>
      <c r="Z35" s="5"/>
    </row>
    <row r="36" spans="1:26" ht="15.75" thickBot="1" x14ac:dyDescent="0.3">
      <c r="A36" s="11">
        <v>46286.891932870371</v>
      </c>
      <c r="B36" s="12" t="s">
        <v>371</v>
      </c>
      <c r="C36" s="12" t="s">
        <v>372</v>
      </c>
      <c r="D36" s="12" t="s">
        <v>373</v>
      </c>
      <c r="E36" s="44">
        <v>8.6</v>
      </c>
      <c r="F36" s="12" t="s">
        <v>294</v>
      </c>
      <c r="G36" s="13">
        <v>0.5</v>
      </c>
      <c r="H36" s="14">
        <v>6465</v>
      </c>
      <c r="I36" s="13">
        <v>1</v>
      </c>
      <c r="J36" s="12" t="s">
        <v>305</v>
      </c>
      <c r="K36" s="13">
        <v>0.5</v>
      </c>
      <c r="L36" s="12" t="s">
        <v>306</v>
      </c>
      <c r="M36" s="13">
        <v>1</v>
      </c>
      <c r="N36" s="12" t="s">
        <v>285</v>
      </c>
      <c r="O36" s="13">
        <v>1</v>
      </c>
      <c r="P36" s="12" t="s">
        <v>307</v>
      </c>
      <c r="Q36" s="13">
        <v>1</v>
      </c>
      <c r="R36" s="12" t="s">
        <v>308</v>
      </c>
      <c r="S36" s="13">
        <v>1</v>
      </c>
      <c r="T36" s="15"/>
      <c r="U36" s="5"/>
      <c r="V36" s="5"/>
      <c r="W36" s="5"/>
      <c r="X36" s="5"/>
      <c r="Y36" s="5"/>
      <c r="Z36" s="5"/>
    </row>
    <row r="37" spans="1:26" ht="15.75" thickBot="1" x14ac:dyDescent="0.3">
      <c r="A37" s="16">
        <v>46286.826145833336</v>
      </c>
      <c r="B37" s="17" t="s">
        <v>250</v>
      </c>
      <c r="C37" s="17" t="s">
        <v>251</v>
      </c>
      <c r="D37" s="17" t="s">
        <v>252</v>
      </c>
      <c r="E37" s="45">
        <v>8.6</v>
      </c>
      <c r="F37" s="17" t="s">
        <v>294</v>
      </c>
      <c r="G37" s="18">
        <v>0.5</v>
      </c>
      <c r="H37" s="20">
        <v>6465</v>
      </c>
      <c r="I37" s="18">
        <v>1</v>
      </c>
      <c r="J37" s="17" t="s">
        <v>305</v>
      </c>
      <c r="K37" s="18">
        <v>0.5</v>
      </c>
      <c r="L37" s="17" t="s">
        <v>306</v>
      </c>
      <c r="M37" s="18">
        <v>1</v>
      </c>
      <c r="N37" s="17" t="s">
        <v>285</v>
      </c>
      <c r="O37" s="18">
        <v>1</v>
      </c>
      <c r="P37" s="17" t="s">
        <v>307</v>
      </c>
      <c r="Q37" s="18">
        <v>1</v>
      </c>
      <c r="R37" s="17" t="s">
        <v>308</v>
      </c>
      <c r="S37" s="18">
        <v>1</v>
      </c>
      <c r="T37" s="21"/>
      <c r="U37" s="5"/>
      <c r="V37" s="5"/>
      <c r="W37" s="5"/>
      <c r="X37" s="5"/>
      <c r="Y37" s="5"/>
      <c r="Z37" s="5"/>
    </row>
    <row r="38" spans="1:26" ht="15.75" thickBot="1" x14ac:dyDescent="0.3">
      <c r="A38" s="38">
        <v>46283.896770833337</v>
      </c>
      <c r="B38" s="39" t="s">
        <v>258</v>
      </c>
      <c r="C38" s="39" t="s">
        <v>259</v>
      </c>
      <c r="D38" s="39" t="s">
        <v>260</v>
      </c>
      <c r="E38" s="46">
        <v>9.3000000000000007</v>
      </c>
      <c r="F38" s="39" t="s">
        <v>313</v>
      </c>
      <c r="G38" s="40">
        <v>0.5</v>
      </c>
      <c r="H38" s="41">
        <v>6465</v>
      </c>
      <c r="I38" s="40">
        <v>1</v>
      </c>
      <c r="J38" s="39" t="s">
        <v>276</v>
      </c>
      <c r="K38" s="40">
        <v>1</v>
      </c>
      <c r="L38" s="39" t="s">
        <v>277</v>
      </c>
      <c r="M38" s="40">
        <v>1</v>
      </c>
      <c r="N38" s="39" t="s">
        <v>278</v>
      </c>
      <c r="O38" s="40">
        <v>1</v>
      </c>
      <c r="P38" s="39" t="s">
        <v>292</v>
      </c>
      <c r="Q38" s="40">
        <v>1</v>
      </c>
      <c r="R38" s="39" t="s">
        <v>293</v>
      </c>
      <c r="S38" s="40">
        <v>1</v>
      </c>
      <c r="T38" s="42"/>
      <c r="U38" s="5"/>
      <c r="V38" s="5"/>
      <c r="W38" s="5"/>
      <c r="X38" s="5"/>
      <c r="Y38" s="5"/>
      <c r="Z38" s="5"/>
    </row>
    <row r="39" spans="1:26" ht="15.75" thickBot="1" x14ac:dyDescent="0.3">
      <c r="A39" s="5"/>
      <c r="B39" s="5"/>
      <c r="C39" s="5"/>
      <c r="D39" s="5"/>
      <c r="E39" s="47"/>
      <c r="F39" s="5"/>
      <c r="G39" s="5"/>
      <c r="H39" s="5"/>
      <c r="I39" s="5"/>
      <c r="J39" s="5"/>
      <c r="K39" s="5"/>
      <c r="L39" s="5"/>
      <c r="M39" s="5"/>
      <c r="N39" s="5"/>
      <c r="O39" s="5"/>
      <c r="P39" s="5"/>
      <c r="Q39" s="5"/>
      <c r="R39" s="5"/>
      <c r="S39" s="5"/>
      <c r="T39" s="5"/>
      <c r="U39" s="5"/>
      <c r="V39" s="5"/>
      <c r="W39" s="5"/>
      <c r="X39" s="5"/>
      <c r="Y39" s="5"/>
      <c r="Z39" s="5"/>
    </row>
    <row r="40" spans="1:26" ht="15.75" thickBot="1" x14ac:dyDescent="0.3">
      <c r="A40" s="5"/>
      <c r="B40" s="5"/>
      <c r="C40" s="5"/>
      <c r="D40" s="5"/>
      <c r="E40" s="47"/>
      <c r="F40" s="5"/>
      <c r="G40" s="5"/>
      <c r="H40" s="5"/>
      <c r="I40" s="5"/>
      <c r="J40" s="5"/>
      <c r="K40" s="5"/>
      <c r="L40" s="5"/>
      <c r="M40" s="5"/>
      <c r="N40" s="5"/>
      <c r="O40" s="5"/>
      <c r="P40" s="5"/>
      <c r="Q40" s="5"/>
      <c r="R40" s="5"/>
      <c r="S40" s="5"/>
      <c r="T40" s="5"/>
      <c r="U40" s="5"/>
      <c r="V40" s="5"/>
      <c r="W40" s="5"/>
      <c r="X40" s="5"/>
      <c r="Y40" s="5"/>
      <c r="Z40" s="5"/>
    </row>
    <row r="41" spans="1:26" ht="15.75" thickBot="1" x14ac:dyDescent="0.3">
      <c r="A41" s="5"/>
      <c r="B41" s="5"/>
      <c r="C41" s="5"/>
      <c r="D41" s="5"/>
      <c r="E41" s="47"/>
      <c r="F41" s="5"/>
      <c r="G41" s="5"/>
      <c r="H41" s="5"/>
      <c r="I41" s="5"/>
      <c r="J41" s="5"/>
      <c r="K41" s="5"/>
      <c r="L41" s="5"/>
      <c r="M41" s="5"/>
      <c r="N41" s="5"/>
      <c r="O41" s="5"/>
      <c r="P41" s="5"/>
      <c r="Q41" s="5"/>
      <c r="R41" s="5"/>
      <c r="S41" s="5"/>
      <c r="T41" s="5"/>
      <c r="U41" s="5"/>
      <c r="V41" s="5"/>
      <c r="W41" s="5"/>
      <c r="X41" s="5"/>
      <c r="Y41" s="5"/>
      <c r="Z41" s="5"/>
    </row>
    <row r="42" spans="1:26" ht="15.75" thickBot="1" x14ac:dyDescent="0.3">
      <c r="A42" s="5"/>
      <c r="B42" s="5"/>
      <c r="C42" s="5"/>
      <c r="D42" s="5"/>
      <c r="E42" s="47"/>
      <c r="F42" s="5"/>
      <c r="G42" s="5"/>
      <c r="H42" s="5"/>
      <c r="I42" s="5"/>
      <c r="J42" s="5"/>
      <c r="K42" s="5"/>
      <c r="L42" s="5"/>
      <c r="M42" s="5"/>
      <c r="N42" s="5"/>
      <c r="O42" s="5"/>
      <c r="P42" s="5"/>
      <c r="Q42" s="5"/>
      <c r="R42" s="5"/>
      <c r="S42" s="5"/>
      <c r="T42" s="5"/>
      <c r="U42" s="5"/>
      <c r="V42" s="5"/>
      <c r="W42" s="5"/>
      <c r="X42" s="5"/>
      <c r="Y42" s="5"/>
      <c r="Z42" s="5"/>
    </row>
    <row r="43" spans="1:26" ht="15.75" thickBot="1" x14ac:dyDescent="0.3">
      <c r="A43" s="5"/>
      <c r="B43" s="5"/>
      <c r="C43" s="5"/>
      <c r="D43" s="5"/>
      <c r="E43" s="47"/>
      <c r="F43" s="5"/>
      <c r="G43" s="5"/>
      <c r="H43" s="5"/>
      <c r="I43" s="5"/>
      <c r="J43" s="5"/>
      <c r="K43" s="5"/>
      <c r="L43" s="5"/>
      <c r="M43" s="5"/>
      <c r="N43" s="5"/>
      <c r="O43" s="5"/>
      <c r="P43" s="5"/>
      <c r="Q43" s="5"/>
      <c r="R43" s="5"/>
      <c r="S43" s="5"/>
      <c r="T43" s="5"/>
      <c r="U43" s="5"/>
      <c r="V43" s="5"/>
      <c r="W43" s="5"/>
      <c r="X43" s="5"/>
      <c r="Y43" s="5"/>
      <c r="Z43" s="5"/>
    </row>
    <row r="44" spans="1:26" ht="15.75" thickBot="1" x14ac:dyDescent="0.3">
      <c r="A44" s="5"/>
      <c r="B44" s="5"/>
      <c r="C44" s="5"/>
      <c r="D44" s="5"/>
      <c r="E44" s="47"/>
      <c r="F44" s="5"/>
      <c r="G44" s="5"/>
      <c r="H44" s="5"/>
      <c r="I44" s="5"/>
      <c r="J44" s="5"/>
      <c r="K44" s="5"/>
      <c r="L44" s="5"/>
      <c r="M44" s="5"/>
      <c r="N44" s="5"/>
      <c r="O44" s="5"/>
      <c r="P44" s="5"/>
      <c r="Q44" s="5"/>
      <c r="R44" s="5"/>
      <c r="S44" s="5"/>
      <c r="T44" s="5"/>
      <c r="U44" s="5"/>
      <c r="V44" s="5"/>
      <c r="W44" s="5"/>
      <c r="X44" s="5"/>
      <c r="Y44" s="5"/>
      <c r="Z44" s="5"/>
    </row>
    <row r="45" spans="1:26" ht="15.75" thickBot="1" x14ac:dyDescent="0.3">
      <c r="A45" s="5"/>
      <c r="B45" s="5"/>
      <c r="C45" s="5"/>
      <c r="D45" s="5"/>
      <c r="E45" s="47"/>
      <c r="F45" s="5"/>
      <c r="G45" s="5"/>
      <c r="H45" s="5"/>
      <c r="I45" s="5"/>
      <c r="J45" s="5"/>
      <c r="K45" s="5"/>
      <c r="L45" s="5"/>
      <c r="M45" s="5"/>
      <c r="N45" s="5"/>
      <c r="O45" s="5"/>
      <c r="P45" s="5"/>
      <c r="Q45" s="5"/>
      <c r="R45" s="5"/>
      <c r="S45" s="5"/>
      <c r="T45" s="5"/>
      <c r="U45" s="5"/>
      <c r="V45" s="5"/>
      <c r="W45" s="5"/>
      <c r="X45" s="5"/>
      <c r="Y45" s="5"/>
      <c r="Z45" s="5"/>
    </row>
    <row r="46" spans="1:26" ht="15.75" thickBot="1" x14ac:dyDescent="0.3">
      <c r="A46" s="5"/>
      <c r="B46" s="5"/>
      <c r="C46" s="5"/>
      <c r="D46" s="5"/>
      <c r="E46" s="47"/>
      <c r="F46" s="5"/>
      <c r="G46" s="5"/>
      <c r="H46" s="5"/>
      <c r="I46" s="5"/>
      <c r="J46" s="5"/>
      <c r="K46" s="5"/>
      <c r="L46" s="5"/>
      <c r="M46" s="5"/>
      <c r="N46" s="5"/>
      <c r="O46" s="5"/>
      <c r="P46" s="5"/>
      <c r="Q46" s="5"/>
      <c r="R46" s="5"/>
      <c r="S46" s="5"/>
      <c r="T46" s="5"/>
      <c r="U46" s="5"/>
      <c r="V46" s="5"/>
      <c r="W46" s="5"/>
      <c r="X46" s="5"/>
      <c r="Y46" s="5"/>
      <c r="Z46" s="5"/>
    </row>
    <row r="47" spans="1:26" ht="15.75" thickBot="1" x14ac:dyDescent="0.3">
      <c r="A47" s="5"/>
      <c r="B47" s="5"/>
      <c r="C47" s="5"/>
      <c r="D47" s="5"/>
      <c r="E47" s="47"/>
      <c r="F47" s="5"/>
      <c r="G47" s="5"/>
      <c r="H47" s="5"/>
      <c r="I47" s="5"/>
      <c r="J47" s="5"/>
      <c r="K47" s="5"/>
      <c r="L47" s="5"/>
      <c r="M47" s="5"/>
      <c r="N47" s="5"/>
      <c r="O47" s="5"/>
      <c r="P47" s="5"/>
      <c r="Q47" s="5"/>
      <c r="R47" s="5"/>
      <c r="S47" s="5"/>
      <c r="T47" s="5"/>
      <c r="U47" s="5"/>
      <c r="V47" s="5"/>
      <c r="W47" s="5"/>
      <c r="X47" s="5"/>
      <c r="Y47" s="5"/>
      <c r="Z47" s="5"/>
    </row>
    <row r="48" spans="1:26" ht="15.75" thickBot="1" x14ac:dyDescent="0.3">
      <c r="A48" s="5"/>
      <c r="B48" s="5"/>
      <c r="C48" s="5"/>
      <c r="D48" s="5"/>
      <c r="E48" s="47"/>
      <c r="F48" s="5"/>
      <c r="G48" s="5"/>
      <c r="H48" s="5"/>
      <c r="I48" s="5"/>
      <c r="J48" s="5"/>
      <c r="K48" s="5"/>
      <c r="L48" s="5"/>
      <c r="M48" s="5"/>
      <c r="N48" s="5"/>
      <c r="O48" s="5"/>
      <c r="P48" s="5"/>
      <c r="Q48" s="5"/>
      <c r="R48" s="5"/>
      <c r="S48" s="5"/>
      <c r="T48" s="5"/>
      <c r="U48" s="5"/>
      <c r="V48" s="5"/>
      <c r="W48" s="5"/>
      <c r="X48" s="5"/>
      <c r="Y48" s="5"/>
      <c r="Z48" s="5"/>
    </row>
    <row r="49" spans="1:26" ht="15.75" thickBot="1" x14ac:dyDescent="0.3">
      <c r="A49" s="5"/>
      <c r="B49" s="5"/>
      <c r="C49" s="5"/>
      <c r="D49" s="5"/>
      <c r="E49" s="47"/>
      <c r="F49" s="5"/>
      <c r="G49" s="5"/>
      <c r="H49" s="5"/>
      <c r="I49" s="5"/>
      <c r="J49" s="5"/>
      <c r="K49" s="5"/>
      <c r="L49" s="5"/>
      <c r="M49" s="5"/>
      <c r="N49" s="5"/>
      <c r="O49" s="5"/>
      <c r="P49" s="5"/>
      <c r="Q49" s="5"/>
      <c r="R49" s="5"/>
      <c r="S49" s="5"/>
      <c r="T49" s="5"/>
      <c r="U49" s="5"/>
      <c r="V49" s="5"/>
      <c r="W49" s="5"/>
      <c r="X49" s="5"/>
      <c r="Y49" s="5"/>
      <c r="Z49" s="5"/>
    </row>
    <row r="50" spans="1:26" ht="15.75" thickBot="1" x14ac:dyDescent="0.3">
      <c r="A50" s="5"/>
      <c r="B50" s="5"/>
      <c r="C50" s="5"/>
      <c r="D50" s="5"/>
      <c r="E50" s="47"/>
      <c r="F50" s="5"/>
      <c r="G50" s="5"/>
      <c r="H50" s="5"/>
      <c r="I50" s="5"/>
      <c r="J50" s="5"/>
      <c r="K50" s="5"/>
      <c r="L50" s="5"/>
      <c r="M50" s="5"/>
      <c r="N50" s="5"/>
      <c r="O50" s="5"/>
      <c r="P50" s="5"/>
      <c r="Q50" s="5"/>
      <c r="R50" s="5"/>
      <c r="S50" s="5"/>
      <c r="T50" s="5"/>
      <c r="U50" s="5"/>
      <c r="V50" s="5"/>
      <c r="W50" s="5"/>
      <c r="X50" s="5"/>
      <c r="Y50" s="5"/>
      <c r="Z50" s="5"/>
    </row>
    <row r="51" spans="1:26" ht="15.75" thickBot="1" x14ac:dyDescent="0.3">
      <c r="A51" s="5"/>
      <c r="B51" s="5"/>
      <c r="C51" s="5"/>
      <c r="D51" s="5"/>
      <c r="E51" s="47"/>
      <c r="F51" s="5"/>
      <c r="G51" s="5"/>
      <c r="H51" s="5"/>
      <c r="I51" s="5"/>
      <c r="J51" s="5"/>
      <c r="K51" s="5"/>
      <c r="L51" s="5"/>
      <c r="M51" s="5"/>
      <c r="N51" s="5"/>
      <c r="O51" s="5"/>
      <c r="P51" s="5"/>
      <c r="Q51" s="5"/>
      <c r="R51" s="5"/>
      <c r="S51" s="5"/>
      <c r="T51" s="5"/>
      <c r="U51" s="5"/>
      <c r="V51" s="5"/>
      <c r="W51" s="5"/>
      <c r="X51" s="5"/>
      <c r="Y51" s="5"/>
      <c r="Z51" s="5"/>
    </row>
    <row r="52" spans="1:26" ht="15.75" thickBot="1" x14ac:dyDescent="0.3">
      <c r="A52" s="5"/>
      <c r="B52" s="5"/>
      <c r="C52" s="5"/>
      <c r="D52" s="5"/>
      <c r="E52" s="47"/>
      <c r="F52" s="5"/>
      <c r="G52" s="5"/>
      <c r="H52" s="5"/>
      <c r="I52" s="5"/>
      <c r="J52" s="5"/>
      <c r="K52" s="5"/>
      <c r="L52" s="5"/>
      <c r="M52" s="5"/>
      <c r="N52" s="5"/>
      <c r="O52" s="5"/>
      <c r="P52" s="5"/>
      <c r="Q52" s="5"/>
      <c r="R52" s="5"/>
      <c r="S52" s="5"/>
      <c r="T52" s="5"/>
      <c r="U52" s="5"/>
      <c r="V52" s="5"/>
      <c r="W52" s="5"/>
      <c r="X52" s="5"/>
      <c r="Y52" s="5"/>
      <c r="Z52" s="5"/>
    </row>
    <row r="53" spans="1:26" ht="15.75" thickBot="1" x14ac:dyDescent="0.3">
      <c r="A53" s="5"/>
      <c r="B53" s="5"/>
      <c r="C53" s="5"/>
      <c r="D53" s="5"/>
      <c r="E53" s="47"/>
      <c r="F53" s="5"/>
      <c r="G53" s="5"/>
      <c r="H53" s="5"/>
      <c r="I53" s="5"/>
      <c r="J53" s="5"/>
      <c r="K53" s="5"/>
      <c r="L53" s="5"/>
      <c r="M53" s="5"/>
      <c r="N53" s="5"/>
      <c r="O53" s="5"/>
      <c r="P53" s="5"/>
      <c r="Q53" s="5"/>
      <c r="R53" s="5"/>
      <c r="S53" s="5"/>
      <c r="T53" s="5"/>
      <c r="U53" s="5"/>
      <c r="V53" s="5"/>
      <c r="W53" s="5"/>
      <c r="X53" s="5"/>
      <c r="Y53" s="5"/>
      <c r="Z53" s="5"/>
    </row>
    <row r="54" spans="1:26" ht="15.75" thickBot="1" x14ac:dyDescent="0.3">
      <c r="A54" s="5"/>
      <c r="B54" s="5"/>
      <c r="C54" s="5"/>
      <c r="D54" s="5"/>
      <c r="E54" s="47"/>
      <c r="F54" s="5"/>
      <c r="G54" s="5"/>
      <c r="H54" s="5"/>
      <c r="I54" s="5"/>
      <c r="J54" s="5"/>
      <c r="K54" s="5"/>
      <c r="L54" s="5"/>
      <c r="M54" s="5"/>
      <c r="N54" s="5"/>
      <c r="O54" s="5"/>
      <c r="P54" s="5"/>
      <c r="Q54" s="5"/>
      <c r="R54" s="5"/>
      <c r="S54" s="5"/>
      <c r="T54" s="5"/>
      <c r="U54" s="5"/>
      <c r="V54" s="5"/>
      <c r="W54" s="5"/>
      <c r="X54" s="5"/>
      <c r="Y54" s="5"/>
      <c r="Z54" s="5"/>
    </row>
    <row r="55" spans="1:26" ht="15.75" thickBot="1" x14ac:dyDescent="0.3">
      <c r="A55" s="5"/>
      <c r="B55" s="5"/>
      <c r="C55" s="5"/>
      <c r="D55" s="5"/>
      <c r="E55" s="47"/>
      <c r="F55" s="5"/>
      <c r="G55" s="5"/>
      <c r="H55" s="5"/>
      <c r="I55" s="5"/>
      <c r="J55" s="5"/>
      <c r="K55" s="5"/>
      <c r="L55" s="5"/>
      <c r="M55" s="5"/>
      <c r="N55" s="5"/>
      <c r="O55" s="5"/>
      <c r="P55" s="5"/>
      <c r="Q55" s="5"/>
      <c r="R55" s="5"/>
      <c r="S55" s="5"/>
      <c r="T55" s="5"/>
      <c r="U55" s="5"/>
      <c r="V55" s="5"/>
      <c r="W55" s="5"/>
      <c r="X55" s="5"/>
      <c r="Y55" s="5"/>
      <c r="Z55" s="5"/>
    </row>
    <row r="56" spans="1:26" ht="15.75" thickBot="1" x14ac:dyDescent="0.3">
      <c r="A56" s="5"/>
      <c r="B56" s="5"/>
      <c r="C56" s="5"/>
      <c r="D56" s="5"/>
      <c r="E56" s="47"/>
      <c r="F56" s="5"/>
      <c r="G56" s="5"/>
      <c r="H56" s="5"/>
      <c r="I56" s="5"/>
      <c r="J56" s="5"/>
      <c r="K56" s="5"/>
      <c r="L56" s="5"/>
      <c r="M56" s="5"/>
      <c r="N56" s="5"/>
      <c r="O56" s="5"/>
      <c r="P56" s="5"/>
      <c r="Q56" s="5"/>
      <c r="R56" s="5"/>
      <c r="S56" s="5"/>
      <c r="T56" s="5"/>
      <c r="U56" s="5"/>
      <c r="V56" s="5"/>
      <c r="W56" s="5"/>
      <c r="X56" s="5"/>
      <c r="Y56" s="5"/>
      <c r="Z56" s="5"/>
    </row>
    <row r="57" spans="1:26" ht="15.75" thickBot="1" x14ac:dyDescent="0.3">
      <c r="A57" s="5"/>
      <c r="B57" s="5"/>
      <c r="C57" s="5"/>
      <c r="D57" s="5"/>
      <c r="E57" s="47"/>
      <c r="F57" s="5"/>
      <c r="G57" s="5"/>
      <c r="H57" s="5"/>
      <c r="I57" s="5"/>
      <c r="J57" s="5"/>
      <c r="K57" s="5"/>
      <c r="L57" s="5"/>
      <c r="M57" s="5"/>
      <c r="N57" s="5"/>
      <c r="O57" s="5"/>
      <c r="P57" s="5"/>
      <c r="Q57" s="5"/>
      <c r="R57" s="5"/>
      <c r="S57" s="5"/>
      <c r="T57" s="5"/>
      <c r="U57" s="5"/>
      <c r="V57" s="5"/>
      <c r="W57" s="5"/>
      <c r="X57" s="5"/>
      <c r="Y57" s="5"/>
      <c r="Z57" s="5"/>
    </row>
    <row r="58" spans="1:26" ht="15.75" thickBot="1" x14ac:dyDescent="0.3">
      <c r="A58" s="5"/>
      <c r="B58" s="5"/>
      <c r="C58" s="5"/>
      <c r="D58" s="5"/>
      <c r="E58" s="47"/>
      <c r="F58" s="5"/>
      <c r="G58" s="5"/>
      <c r="H58" s="5"/>
      <c r="I58" s="5"/>
      <c r="J58" s="5"/>
      <c r="K58" s="5"/>
      <c r="L58" s="5"/>
      <c r="M58" s="5"/>
      <c r="N58" s="5"/>
      <c r="O58" s="5"/>
      <c r="P58" s="5"/>
      <c r="Q58" s="5"/>
      <c r="R58" s="5"/>
      <c r="S58" s="5"/>
      <c r="T58" s="5"/>
      <c r="U58" s="5"/>
      <c r="V58" s="5"/>
      <c r="W58" s="5"/>
      <c r="X58" s="5"/>
      <c r="Y58" s="5"/>
      <c r="Z58" s="5"/>
    </row>
    <row r="59" spans="1:26" ht="15.75" thickBot="1" x14ac:dyDescent="0.3">
      <c r="A59" s="5"/>
      <c r="B59" s="5"/>
      <c r="C59" s="5"/>
      <c r="D59" s="5"/>
      <c r="E59" s="47"/>
      <c r="F59" s="5"/>
      <c r="G59" s="5"/>
      <c r="H59" s="5"/>
      <c r="I59" s="5"/>
      <c r="J59" s="5"/>
      <c r="K59" s="5"/>
      <c r="L59" s="5"/>
      <c r="M59" s="5"/>
      <c r="N59" s="5"/>
      <c r="O59" s="5"/>
      <c r="P59" s="5"/>
      <c r="Q59" s="5"/>
      <c r="R59" s="5"/>
      <c r="S59" s="5"/>
      <c r="T59" s="5"/>
      <c r="U59" s="5"/>
      <c r="V59" s="5"/>
      <c r="W59" s="5"/>
      <c r="X59" s="5"/>
      <c r="Y59" s="5"/>
      <c r="Z59" s="5"/>
    </row>
    <row r="60" spans="1:26" ht="15.75" thickBot="1" x14ac:dyDescent="0.3">
      <c r="A60" s="5"/>
      <c r="B60" s="5"/>
      <c r="C60" s="5"/>
      <c r="D60" s="5"/>
      <c r="E60" s="47"/>
      <c r="F60" s="5"/>
      <c r="G60" s="5"/>
      <c r="H60" s="5"/>
      <c r="I60" s="5"/>
      <c r="J60" s="5"/>
      <c r="K60" s="5"/>
      <c r="L60" s="5"/>
      <c r="M60" s="5"/>
      <c r="N60" s="5"/>
      <c r="O60" s="5"/>
      <c r="P60" s="5"/>
      <c r="Q60" s="5"/>
      <c r="R60" s="5"/>
      <c r="S60" s="5"/>
      <c r="T60" s="5"/>
      <c r="U60" s="5"/>
      <c r="V60" s="5"/>
      <c r="W60" s="5"/>
      <c r="X60" s="5"/>
      <c r="Y60" s="5"/>
      <c r="Z60" s="5"/>
    </row>
    <row r="61" spans="1:26" ht="15.75" thickBot="1" x14ac:dyDescent="0.3">
      <c r="A61" s="5"/>
      <c r="B61" s="5"/>
      <c r="C61" s="5"/>
      <c r="D61" s="5"/>
      <c r="E61" s="47"/>
      <c r="F61" s="5"/>
      <c r="G61" s="5"/>
      <c r="H61" s="5"/>
      <c r="I61" s="5"/>
      <c r="J61" s="5"/>
      <c r="K61" s="5"/>
      <c r="L61" s="5"/>
      <c r="M61" s="5"/>
      <c r="N61" s="5"/>
      <c r="O61" s="5"/>
      <c r="P61" s="5"/>
      <c r="Q61" s="5"/>
      <c r="R61" s="5"/>
      <c r="S61" s="5"/>
      <c r="T61" s="5"/>
      <c r="U61" s="5"/>
      <c r="V61" s="5"/>
      <c r="W61" s="5"/>
      <c r="X61" s="5"/>
      <c r="Y61" s="5"/>
      <c r="Z61" s="5"/>
    </row>
    <row r="62" spans="1:26" ht="15.75" thickBot="1" x14ac:dyDescent="0.3">
      <c r="A62" s="5"/>
      <c r="B62" s="5"/>
      <c r="C62" s="5"/>
      <c r="D62" s="5"/>
      <c r="E62" s="47"/>
      <c r="F62" s="5"/>
      <c r="G62" s="5"/>
      <c r="H62" s="5"/>
      <c r="I62" s="5"/>
      <c r="J62" s="5"/>
      <c r="K62" s="5"/>
      <c r="L62" s="5"/>
      <c r="M62" s="5"/>
      <c r="N62" s="5"/>
      <c r="O62" s="5"/>
      <c r="P62" s="5"/>
      <c r="Q62" s="5"/>
      <c r="R62" s="5"/>
      <c r="S62" s="5"/>
      <c r="T62" s="5"/>
      <c r="U62" s="5"/>
      <c r="V62" s="5"/>
      <c r="W62" s="5"/>
      <c r="X62" s="5"/>
      <c r="Y62" s="5"/>
      <c r="Z62" s="5"/>
    </row>
    <row r="63" spans="1:26" ht="15.75" thickBot="1" x14ac:dyDescent="0.3">
      <c r="A63" s="5"/>
      <c r="B63" s="5"/>
      <c r="C63" s="5"/>
      <c r="D63" s="5"/>
      <c r="E63" s="47"/>
      <c r="F63" s="5"/>
      <c r="G63" s="5"/>
      <c r="H63" s="5"/>
      <c r="I63" s="5"/>
      <c r="J63" s="5"/>
      <c r="K63" s="5"/>
      <c r="L63" s="5"/>
      <c r="M63" s="5"/>
      <c r="N63" s="5"/>
      <c r="O63" s="5"/>
      <c r="P63" s="5"/>
      <c r="Q63" s="5"/>
      <c r="R63" s="5"/>
      <c r="S63" s="5"/>
      <c r="T63" s="5"/>
      <c r="U63" s="5"/>
      <c r="V63" s="5"/>
      <c r="W63" s="5"/>
      <c r="X63" s="5"/>
      <c r="Y63" s="5"/>
      <c r="Z63" s="5"/>
    </row>
    <row r="64" spans="1:26" ht="15.75" thickBot="1" x14ac:dyDescent="0.3">
      <c r="A64" s="5"/>
      <c r="B64" s="5"/>
      <c r="C64" s="5"/>
      <c r="D64" s="5"/>
      <c r="E64" s="47"/>
      <c r="F64" s="5"/>
      <c r="G64" s="5"/>
      <c r="H64" s="5"/>
      <c r="I64" s="5"/>
      <c r="J64" s="5"/>
      <c r="K64" s="5"/>
      <c r="L64" s="5"/>
      <c r="M64" s="5"/>
      <c r="N64" s="5"/>
      <c r="O64" s="5"/>
      <c r="P64" s="5"/>
      <c r="Q64" s="5"/>
      <c r="R64" s="5"/>
      <c r="S64" s="5"/>
      <c r="T64" s="5"/>
      <c r="U64" s="5"/>
      <c r="V64" s="5"/>
      <c r="W64" s="5"/>
      <c r="X64" s="5"/>
      <c r="Y64" s="5"/>
      <c r="Z64" s="5"/>
    </row>
    <row r="65" spans="1:26" ht="15.75" thickBot="1" x14ac:dyDescent="0.3">
      <c r="A65" s="5"/>
      <c r="B65" s="5"/>
      <c r="C65" s="5"/>
      <c r="D65" s="5"/>
      <c r="E65" s="47"/>
      <c r="F65" s="5"/>
      <c r="G65" s="5"/>
      <c r="H65" s="5"/>
      <c r="I65" s="5"/>
      <c r="J65" s="5"/>
      <c r="K65" s="5"/>
      <c r="L65" s="5"/>
      <c r="M65" s="5"/>
      <c r="N65" s="5"/>
      <c r="O65" s="5"/>
      <c r="P65" s="5"/>
      <c r="Q65" s="5"/>
      <c r="R65" s="5"/>
      <c r="S65" s="5"/>
      <c r="T65" s="5"/>
      <c r="U65" s="5"/>
      <c r="V65" s="5"/>
      <c r="W65" s="5"/>
      <c r="X65" s="5"/>
      <c r="Y65" s="5"/>
      <c r="Z65" s="5"/>
    </row>
    <row r="66" spans="1:26" ht="15.75" thickBot="1" x14ac:dyDescent="0.3">
      <c r="A66" s="5"/>
      <c r="B66" s="5"/>
      <c r="C66" s="5"/>
      <c r="D66" s="5"/>
      <c r="E66" s="47"/>
      <c r="F66" s="5"/>
      <c r="G66" s="5"/>
      <c r="H66" s="5"/>
      <c r="I66" s="5"/>
      <c r="J66" s="5"/>
      <c r="K66" s="5"/>
      <c r="L66" s="5"/>
      <c r="M66" s="5"/>
      <c r="N66" s="5"/>
      <c r="O66" s="5"/>
      <c r="P66" s="5"/>
      <c r="Q66" s="5"/>
      <c r="R66" s="5"/>
      <c r="S66" s="5"/>
      <c r="T66" s="5"/>
      <c r="U66" s="5"/>
      <c r="V66" s="5"/>
      <c r="W66" s="5"/>
      <c r="X66" s="5"/>
      <c r="Y66" s="5"/>
      <c r="Z66" s="5"/>
    </row>
    <row r="67" spans="1:26" ht="15.75" thickBot="1" x14ac:dyDescent="0.3">
      <c r="A67" s="5"/>
      <c r="B67" s="5"/>
      <c r="C67" s="5"/>
      <c r="D67" s="5"/>
      <c r="E67" s="47"/>
      <c r="F67" s="5"/>
      <c r="G67" s="5"/>
      <c r="H67" s="5"/>
      <c r="I67" s="5"/>
      <c r="J67" s="5"/>
      <c r="K67" s="5"/>
      <c r="L67" s="5"/>
      <c r="M67" s="5"/>
      <c r="N67" s="5"/>
      <c r="O67" s="5"/>
      <c r="P67" s="5"/>
      <c r="Q67" s="5"/>
      <c r="R67" s="5"/>
      <c r="S67" s="5"/>
      <c r="T67" s="5"/>
      <c r="U67" s="5"/>
      <c r="V67" s="5"/>
      <c r="W67" s="5"/>
      <c r="X67" s="5"/>
      <c r="Y67" s="5"/>
      <c r="Z67" s="5"/>
    </row>
    <row r="68" spans="1:26" ht="15.75" thickBot="1" x14ac:dyDescent="0.3">
      <c r="A68" s="5"/>
      <c r="B68" s="5"/>
      <c r="C68" s="5"/>
      <c r="D68" s="5"/>
      <c r="E68" s="47"/>
      <c r="F68" s="5"/>
      <c r="G68" s="5"/>
      <c r="H68" s="5"/>
      <c r="I68" s="5"/>
      <c r="J68" s="5"/>
      <c r="K68" s="5"/>
      <c r="L68" s="5"/>
      <c r="M68" s="5"/>
      <c r="N68" s="5"/>
      <c r="O68" s="5"/>
      <c r="P68" s="5"/>
      <c r="Q68" s="5"/>
      <c r="R68" s="5"/>
      <c r="S68" s="5"/>
      <c r="T68" s="5"/>
      <c r="U68" s="5"/>
      <c r="V68" s="5"/>
      <c r="W68" s="5"/>
      <c r="X68" s="5"/>
      <c r="Y68" s="5"/>
      <c r="Z68" s="5"/>
    </row>
    <row r="69" spans="1:26" ht="15.75" thickBot="1" x14ac:dyDescent="0.3">
      <c r="A69" s="5"/>
      <c r="B69" s="5"/>
      <c r="C69" s="5"/>
      <c r="D69" s="5"/>
      <c r="E69" s="47"/>
      <c r="F69" s="5"/>
      <c r="G69" s="5"/>
      <c r="H69" s="5"/>
      <c r="I69" s="5"/>
      <c r="J69" s="5"/>
      <c r="K69" s="5"/>
      <c r="L69" s="5"/>
      <c r="M69" s="5"/>
      <c r="N69" s="5"/>
      <c r="O69" s="5"/>
      <c r="P69" s="5"/>
      <c r="Q69" s="5"/>
      <c r="R69" s="5"/>
      <c r="S69" s="5"/>
      <c r="T69" s="5"/>
      <c r="U69" s="5"/>
      <c r="V69" s="5"/>
      <c r="W69" s="5"/>
      <c r="X69" s="5"/>
      <c r="Y69" s="5"/>
      <c r="Z69" s="5"/>
    </row>
    <row r="70" spans="1:26" ht="15.75" thickBot="1" x14ac:dyDescent="0.3">
      <c r="A70" s="5"/>
      <c r="B70" s="5"/>
      <c r="C70" s="5"/>
      <c r="D70" s="5"/>
      <c r="E70" s="47"/>
      <c r="F70" s="5"/>
      <c r="G70" s="5"/>
      <c r="H70" s="5"/>
      <c r="I70" s="5"/>
      <c r="J70" s="5"/>
      <c r="K70" s="5"/>
      <c r="L70" s="5"/>
      <c r="M70" s="5"/>
      <c r="N70" s="5"/>
      <c r="O70" s="5"/>
      <c r="P70" s="5"/>
      <c r="Q70" s="5"/>
      <c r="R70" s="5"/>
      <c r="S70" s="5"/>
      <c r="T70" s="5"/>
      <c r="U70" s="5"/>
      <c r="V70" s="5"/>
      <c r="W70" s="5"/>
      <c r="X70" s="5"/>
      <c r="Y70" s="5"/>
      <c r="Z70" s="5"/>
    </row>
    <row r="71" spans="1:26" ht="15.75" thickBot="1" x14ac:dyDescent="0.3">
      <c r="A71" s="5"/>
      <c r="B71" s="5"/>
      <c r="C71" s="5"/>
      <c r="D71" s="5"/>
      <c r="E71" s="47"/>
      <c r="F71" s="5"/>
      <c r="G71" s="5"/>
      <c r="H71" s="5"/>
      <c r="I71" s="5"/>
      <c r="J71" s="5"/>
      <c r="K71" s="5"/>
      <c r="L71" s="5"/>
      <c r="M71" s="5"/>
      <c r="N71" s="5"/>
      <c r="O71" s="5"/>
      <c r="P71" s="5"/>
      <c r="Q71" s="5"/>
      <c r="R71" s="5"/>
      <c r="S71" s="5"/>
      <c r="T71" s="5"/>
      <c r="U71" s="5"/>
      <c r="V71" s="5"/>
      <c r="W71" s="5"/>
      <c r="X71" s="5"/>
      <c r="Y71" s="5"/>
      <c r="Z71" s="5"/>
    </row>
    <row r="72" spans="1:26" ht="15.75" thickBot="1" x14ac:dyDescent="0.3">
      <c r="A72" s="5"/>
      <c r="B72" s="5"/>
      <c r="C72" s="5"/>
      <c r="D72" s="5"/>
      <c r="E72" s="47"/>
      <c r="F72" s="5"/>
      <c r="G72" s="5"/>
      <c r="H72" s="5"/>
      <c r="I72" s="5"/>
      <c r="J72" s="5"/>
      <c r="K72" s="5"/>
      <c r="L72" s="5"/>
      <c r="M72" s="5"/>
      <c r="N72" s="5"/>
      <c r="O72" s="5"/>
      <c r="P72" s="5"/>
      <c r="Q72" s="5"/>
      <c r="R72" s="5"/>
      <c r="S72" s="5"/>
      <c r="T72" s="5"/>
      <c r="U72" s="5"/>
      <c r="V72" s="5"/>
      <c r="W72" s="5"/>
      <c r="X72" s="5"/>
      <c r="Y72" s="5"/>
      <c r="Z72" s="5"/>
    </row>
    <row r="73" spans="1:26" ht="15.75" thickBot="1" x14ac:dyDescent="0.3">
      <c r="A73" s="5"/>
      <c r="B73" s="5"/>
      <c r="C73" s="5"/>
      <c r="D73" s="5"/>
      <c r="E73" s="47"/>
      <c r="F73" s="5"/>
      <c r="G73" s="5"/>
      <c r="H73" s="5"/>
      <c r="I73" s="5"/>
      <c r="J73" s="5"/>
      <c r="K73" s="5"/>
      <c r="L73" s="5"/>
      <c r="M73" s="5"/>
      <c r="N73" s="5"/>
      <c r="O73" s="5"/>
      <c r="P73" s="5"/>
      <c r="Q73" s="5"/>
      <c r="R73" s="5"/>
      <c r="S73" s="5"/>
      <c r="T73" s="5"/>
      <c r="U73" s="5"/>
      <c r="V73" s="5"/>
      <c r="W73" s="5"/>
      <c r="X73" s="5"/>
      <c r="Y73" s="5"/>
      <c r="Z73" s="5"/>
    </row>
    <row r="74" spans="1:26" ht="15.75" thickBot="1" x14ac:dyDescent="0.3">
      <c r="A74" s="5"/>
      <c r="B74" s="5"/>
      <c r="C74" s="5"/>
      <c r="D74" s="5"/>
      <c r="E74" s="47"/>
      <c r="F74" s="5"/>
      <c r="G74" s="5"/>
      <c r="H74" s="5"/>
      <c r="I74" s="5"/>
      <c r="J74" s="5"/>
      <c r="K74" s="5"/>
      <c r="L74" s="5"/>
      <c r="M74" s="5"/>
      <c r="N74" s="5"/>
      <c r="O74" s="5"/>
      <c r="P74" s="5"/>
      <c r="Q74" s="5"/>
      <c r="R74" s="5"/>
      <c r="S74" s="5"/>
      <c r="T74" s="5"/>
      <c r="U74" s="5"/>
      <c r="V74" s="5"/>
      <c r="W74" s="5"/>
      <c r="X74" s="5"/>
      <c r="Y74" s="5"/>
      <c r="Z74" s="5"/>
    </row>
    <row r="75" spans="1:26" ht="15.75" thickBot="1" x14ac:dyDescent="0.3">
      <c r="A75" s="5"/>
      <c r="B75" s="5"/>
      <c r="C75" s="5"/>
      <c r="D75" s="5"/>
      <c r="E75" s="47"/>
      <c r="F75" s="5"/>
      <c r="G75" s="5"/>
      <c r="H75" s="5"/>
      <c r="I75" s="5"/>
      <c r="J75" s="5"/>
      <c r="K75" s="5"/>
      <c r="L75" s="5"/>
      <c r="M75" s="5"/>
      <c r="N75" s="5"/>
      <c r="O75" s="5"/>
      <c r="P75" s="5"/>
      <c r="Q75" s="5"/>
      <c r="R75" s="5"/>
      <c r="S75" s="5"/>
      <c r="T75" s="5"/>
      <c r="U75" s="5"/>
      <c r="V75" s="5"/>
      <c r="W75" s="5"/>
      <c r="X75" s="5"/>
      <c r="Y75" s="5"/>
      <c r="Z75" s="5"/>
    </row>
    <row r="76" spans="1:26" ht="15.75" thickBot="1" x14ac:dyDescent="0.3">
      <c r="A76" s="5"/>
      <c r="B76" s="5"/>
      <c r="C76" s="5"/>
      <c r="D76" s="5"/>
      <c r="E76" s="47"/>
      <c r="F76" s="5"/>
      <c r="G76" s="5"/>
      <c r="H76" s="5"/>
      <c r="I76" s="5"/>
      <c r="J76" s="5"/>
      <c r="K76" s="5"/>
      <c r="L76" s="5"/>
      <c r="M76" s="5"/>
      <c r="N76" s="5"/>
      <c r="O76" s="5"/>
      <c r="P76" s="5"/>
      <c r="Q76" s="5"/>
      <c r="R76" s="5"/>
      <c r="S76" s="5"/>
      <c r="T76" s="5"/>
      <c r="U76" s="5"/>
      <c r="V76" s="5"/>
      <c r="W76" s="5"/>
      <c r="X76" s="5"/>
      <c r="Y76" s="5"/>
      <c r="Z76" s="5"/>
    </row>
    <row r="77" spans="1:26" ht="15.75" thickBot="1" x14ac:dyDescent="0.3">
      <c r="A77" s="5"/>
      <c r="B77" s="5"/>
      <c r="C77" s="5"/>
      <c r="D77" s="5"/>
      <c r="E77" s="47"/>
      <c r="F77" s="5"/>
      <c r="G77" s="5"/>
      <c r="H77" s="5"/>
      <c r="I77" s="5"/>
      <c r="J77" s="5"/>
      <c r="K77" s="5"/>
      <c r="L77" s="5"/>
      <c r="M77" s="5"/>
      <c r="N77" s="5"/>
      <c r="O77" s="5"/>
      <c r="P77" s="5"/>
      <c r="Q77" s="5"/>
      <c r="R77" s="5"/>
      <c r="S77" s="5"/>
      <c r="T77" s="5"/>
      <c r="U77" s="5"/>
      <c r="V77" s="5"/>
      <c r="W77" s="5"/>
      <c r="X77" s="5"/>
      <c r="Y77" s="5"/>
      <c r="Z77" s="5"/>
    </row>
    <row r="78" spans="1:26" ht="15.75" thickBot="1" x14ac:dyDescent="0.3">
      <c r="A78" s="5"/>
      <c r="B78" s="5"/>
      <c r="C78" s="5"/>
      <c r="D78" s="5"/>
      <c r="E78" s="47"/>
      <c r="F78" s="5"/>
      <c r="G78" s="5"/>
      <c r="H78" s="5"/>
      <c r="I78" s="5"/>
      <c r="J78" s="5"/>
      <c r="K78" s="5"/>
      <c r="L78" s="5"/>
      <c r="M78" s="5"/>
      <c r="N78" s="5"/>
      <c r="O78" s="5"/>
      <c r="P78" s="5"/>
      <c r="Q78" s="5"/>
      <c r="R78" s="5"/>
      <c r="S78" s="5"/>
      <c r="T78" s="5"/>
      <c r="U78" s="5"/>
      <c r="V78" s="5"/>
      <c r="W78" s="5"/>
      <c r="X78" s="5"/>
      <c r="Y78" s="5"/>
      <c r="Z78" s="5"/>
    </row>
    <row r="79" spans="1:26" ht="15.75" thickBot="1" x14ac:dyDescent="0.3">
      <c r="A79" s="5"/>
      <c r="B79" s="5"/>
      <c r="C79" s="5"/>
      <c r="D79" s="5"/>
      <c r="E79" s="47"/>
      <c r="F79" s="5"/>
      <c r="G79" s="5"/>
      <c r="H79" s="5"/>
      <c r="I79" s="5"/>
      <c r="J79" s="5"/>
      <c r="K79" s="5"/>
      <c r="L79" s="5"/>
      <c r="M79" s="5"/>
      <c r="N79" s="5"/>
      <c r="O79" s="5"/>
      <c r="P79" s="5"/>
      <c r="Q79" s="5"/>
      <c r="R79" s="5"/>
      <c r="S79" s="5"/>
      <c r="T79" s="5"/>
      <c r="U79" s="5"/>
      <c r="V79" s="5"/>
      <c r="W79" s="5"/>
      <c r="X79" s="5"/>
      <c r="Y79" s="5"/>
      <c r="Z79" s="5"/>
    </row>
    <row r="80" spans="1:26" ht="15.75" thickBot="1" x14ac:dyDescent="0.3">
      <c r="A80" s="5"/>
      <c r="B80" s="5"/>
      <c r="C80" s="5"/>
      <c r="D80" s="5"/>
      <c r="E80" s="47"/>
      <c r="F80" s="5"/>
      <c r="G80" s="5"/>
      <c r="H80" s="5"/>
      <c r="I80" s="5"/>
      <c r="J80" s="5"/>
      <c r="K80" s="5"/>
      <c r="L80" s="5"/>
      <c r="M80" s="5"/>
      <c r="N80" s="5"/>
      <c r="O80" s="5"/>
      <c r="P80" s="5"/>
      <c r="Q80" s="5"/>
      <c r="R80" s="5"/>
      <c r="S80" s="5"/>
      <c r="T80" s="5"/>
      <c r="U80" s="5"/>
      <c r="V80" s="5"/>
      <c r="W80" s="5"/>
      <c r="X80" s="5"/>
      <c r="Y80" s="5"/>
      <c r="Z80" s="5"/>
    </row>
    <row r="81" spans="1:26" ht="15.75" thickBot="1" x14ac:dyDescent="0.3">
      <c r="A81" s="5"/>
      <c r="B81" s="5"/>
      <c r="C81" s="5"/>
      <c r="D81" s="5"/>
      <c r="E81" s="47"/>
      <c r="F81" s="5"/>
      <c r="G81" s="5"/>
      <c r="H81" s="5"/>
      <c r="I81" s="5"/>
      <c r="J81" s="5"/>
      <c r="K81" s="5"/>
      <c r="L81" s="5"/>
      <c r="M81" s="5"/>
      <c r="N81" s="5"/>
      <c r="O81" s="5"/>
      <c r="P81" s="5"/>
      <c r="Q81" s="5"/>
      <c r="R81" s="5"/>
      <c r="S81" s="5"/>
      <c r="T81" s="5"/>
      <c r="U81" s="5"/>
      <c r="V81" s="5"/>
      <c r="W81" s="5"/>
      <c r="X81" s="5"/>
      <c r="Y81" s="5"/>
      <c r="Z81" s="5"/>
    </row>
    <row r="82" spans="1:26" ht="15.75" thickBot="1" x14ac:dyDescent="0.3">
      <c r="A82" s="5"/>
      <c r="B82" s="5"/>
      <c r="C82" s="5"/>
      <c r="D82" s="5"/>
      <c r="E82" s="47"/>
      <c r="F82" s="5"/>
      <c r="G82" s="5"/>
      <c r="H82" s="5"/>
      <c r="I82" s="5"/>
      <c r="J82" s="5"/>
      <c r="K82" s="5"/>
      <c r="L82" s="5"/>
      <c r="M82" s="5"/>
      <c r="N82" s="5"/>
      <c r="O82" s="5"/>
      <c r="P82" s="5"/>
      <c r="Q82" s="5"/>
      <c r="R82" s="5"/>
      <c r="S82" s="5"/>
      <c r="T82" s="5"/>
      <c r="U82" s="5"/>
      <c r="V82" s="5"/>
      <c r="W82" s="5"/>
      <c r="X82" s="5"/>
      <c r="Y82" s="5"/>
      <c r="Z82" s="5"/>
    </row>
    <row r="83" spans="1:26" ht="15.75" thickBot="1" x14ac:dyDescent="0.3">
      <c r="A83" s="5"/>
      <c r="B83" s="5"/>
      <c r="C83" s="5"/>
      <c r="D83" s="5"/>
      <c r="E83" s="47"/>
      <c r="F83" s="5"/>
      <c r="G83" s="5"/>
      <c r="H83" s="5"/>
      <c r="I83" s="5"/>
      <c r="J83" s="5"/>
      <c r="K83" s="5"/>
      <c r="L83" s="5"/>
      <c r="M83" s="5"/>
      <c r="N83" s="5"/>
      <c r="O83" s="5"/>
      <c r="P83" s="5"/>
      <c r="Q83" s="5"/>
      <c r="R83" s="5"/>
      <c r="S83" s="5"/>
      <c r="T83" s="5"/>
      <c r="U83" s="5"/>
      <c r="V83" s="5"/>
      <c r="W83" s="5"/>
      <c r="X83" s="5"/>
      <c r="Y83" s="5"/>
      <c r="Z83" s="5"/>
    </row>
    <row r="84" spans="1:26" ht="15.75" thickBot="1" x14ac:dyDescent="0.3">
      <c r="A84" s="5"/>
      <c r="B84" s="5"/>
      <c r="C84" s="5"/>
      <c r="D84" s="5"/>
      <c r="E84" s="47"/>
      <c r="F84" s="5"/>
      <c r="G84" s="5"/>
      <c r="H84" s="5"/>
      <c r="I84" s="5"/>
      <c r="J84" s="5"/>
      <c r="K84" s="5"/>
      <c r="L84" s="5"/>
      <c r="M84" s="5"/>
      <c r="N84" s="5"/>
      <c r="O84" s="5"/>
      <c r="P84" s="5"/>
      <c r="Q84" s="5"/>
      <c r="R84" s="5"/>
      <c r="S84" s="5"/>
      <c r="T84" s="5"/>
      <c r="U84" s="5"/>
      <c r="V84" s="5"/>
      <c r="W84" s="5"/>
      <c r="X84" s="5"/>
      <c r="Y84" s="5"/>
      <c r="Z84" s="5"/>
    </row>
    <row r="85" spans="1:26" ht="15.75" thickBot="1" x14ac:dyDescent="0.3">
      <c r="A85" s="5"/>
      <c r="B85" s="5"/>
      <c r="C85" s="5"/>
      <c r="D85" s="5"/>
      <c r="E85" s="47"/>
      <c r="F85" s="5"/>
      <c r="G85" s="5"/>
      <c r="H85" s="5"/>
      <c r="I85" s="5"/>
      <c r="J85" s="5"/>
      <c r="K85" s="5"/>
      <c r="L85" s="5"/>
      <c r="M85" s="5"/>
      <c r="N85" s="5"/>
      <c r="O85" s="5"/>
      <c r="P85" s="5"/>
      <c r="Q85" s="5"/>
      <c r="R85" s="5"/>
      <c r="S85" s="5"/>
      <c r="T85" s="5"/>
      <c r="U85" s="5"/>
      <c r="V85" s="5"/>
      <c r="W85" s="5"/>
      <c r="X85" s="5"/>
      <c r="Y85" s="5"/>
      <c r="Z85" s="5"/>
    </row>
    <row r="86" spans="1:26" ht="15.75" thickBot="1" x14ac:dyDescent="0.3">
      <c r="A86" s="5"/>
      <c r="B86" s="5"/>
      <c r="C86" s="5"/>
      <c r="D86" s="5"/>
      <c r="E86" s="47"/>
      <c r="F86" s="5"/>
      <c r="G86" s="5"/>
      <c r="H86" s="5"/>
      <c r="I86" s="5"/>
      <c r="J86" s="5"/>
      <c r="K86" s="5"/>
      <c r="L86" s="5"/>
      <c r="M86" s="5"/>
      <c r="N86" s="5"/>
      <c r="O86" s="5"/>
      <c r="P86" s="5"/>
      <c r="Q86" s="5"/>
      <c r="R86" s="5"/>
      <c r="S86" s="5"/>
      <c r="T86" s="5"/>
      <c r="U86" s="5"/>
      <c r="V86" s="5"/>
      <c r="W86" s="5"/>
      <c r="X86" s="5"/>
      <c r="Y86" s="5"/>
      <c r="Z86" s="5"/>
    </row>
    <row r="87" spans="1:26" ht="15.75" thickBot="1" x14ac:dyDescent="0.3">
      <c r="A87" s="5"/>
      <c r="B87" s="5"/>
      <c r="C87" s="5"/>
      <c r="D87" s="5"/>
      <c r="E87" s="47"/>
      <c r="F87" s="5"/>
      <c r="G87" s="5"/>
      <c r="H87" s="5"/>
      <c r="I87" s="5"/>
      <c r="J87" s="5"/>
      <c r="K87" s="5"/>
      <c r="L87" s="5"/>
      <c r="M87" s="5"/>
      <c r="N87" s="5"/>
      <c r="O87" s="5"/>
      <c r="P87" s="5"/>
      <c r="Q87" s="5"/>
      <c r="R87" s="5"/>
      <c r="S87" s="5"/>
      <c r="T87" s="5"/>
      <c r="U87" s="5"/>
      <c r="V87" s="5"/>
      <c r="W87" s="5"/>
      <c r="X87" s="5"/>
      <c r="Y87" s="5"/>
      <c r="Z87" s="5"/>
    </row>
    <row r="88" spans="1:26" ht="15.75" thickBot="1" x14ac:dyDescent="0.3">
      <c r="A88" s="5"/>
      <c r="B88" s="5"/>
      <c r="C88" s="5"/>
      <c r="D88" s="5"/>
      <c r="E88" s="47"/>
      <c r="F88" s="5"/>
      <c r="G88" s="5"/>
      <c r="H88" s="5"/>
      <c r="I88" s="5"/>
      <c r="J88" s="5"/>
      <c r="K88" s="5"/>
      <c r="L88" s="5"/>
      <c r="M88" s="5"/>
      <c r="N88" s="5"/>
      <c r="O88" s="5"/>
      <c r="P88" s="5"/>
      <c r="Q88" s="5"/>
      <c r="R88" s="5"/>
      <c r="S88" s="5"/>
      <c r="T88" s="5"/>
      <c r="U88" s="5"/>
      <c r="V88" s="5"/>
      <c r="W88" s="5"/>
      <c r="X88" s="5"/>
      <c r="Y88" s="5"/>
      <c r="Z88" s="5"/>
    </row>
    <row r="89" spans="1:26" ht="15.75" thickBot="1" x14ac:dyDescent="0.3">
      <c r="A89" s="5"/>
      <c r="B89" s="5"/>
      <c r="C89" s="5"/>
      <c r="D89" s="5"/>
      <c r="E89" s="47"/>
      <c r="F89" s="5"/>
      <c r="G89" s="5"/>
      <c r="H89" s="5"/>
      <c r="I89" s="5"/>
      <c r="J89" s="5"/>
      <c r="K89" s="5"/>
      <c r="L89" s="5"/>
      <c r="M89" s="5"/>
      <c r="N89" s="5"/>
      <c r="O89" s="5"/>
      <c r="P89" s="5"/>
      <c r="Q89" s="5"/>
      <c r="R89" s="5"/>
      <c r="S89" s="5"/>
      <c r="T89" s="5"/>
      <c r="U89" s="5"/>
      <c r="V89" s="5"/>
      <c r="W89" s="5"/>
      <c r="X89" s="5"/>
      <c r="Y89" s="5"/>
      <c r="Z89" s="5"/>
    </row>
    <row r="90" spans="1:26" ht="15.75" thickBot="1" x14ac:dyDescent="0.3">
      <c r="A90" s="5"/>
      <c r="B90" s="5"/>
      <c r="C90" s="5"/>
      <c r="D90" s="5"/>
      <c r="E90" s="47"/>
      <c r="F90" s="5"/>
      <c r="G90" s="5"/>
      <c r="H90" s="5"/>
      <c r="I90" s="5"/>
      <c r="J90" s="5"/>
      <c r="K90" s="5"/>
      <c r="L90" s="5"/>
      <c r="M90" s="5"/>
      <c r="N90" s="5"/>
      <c r="O90" s="5"/>
      <c r="P90" s="5"/>
      <c r="Q90" s="5"/>
      <c r="R90" s="5"/>
      <c r="S90" s="5"/>
      <c r="T90" s="5"/>
      <c r="U90" s="5"/>
      <c r="V90" s="5"/>
      <c r="W90" s="5"/>
      <c r="X90" s="5"/>
      <c r="Y90" s="5"/>
      <c r="Z90" s="5"/>
    </row>
    <row r="91" spans="1:26" ht="15.75" thickBot="1" x14ac:dyDescent="0.3">
      <c r="A91" s="5"/>
      <c r="B91" s="5"/>
      <c r="C91" s="5"/>
      <c r="D91" s="5"/>
      <c r="E91" s="47"/>
      <c r="F91" s="5"/>
      <c r="G91" s="5"/>
      <c r="H91" s="5"/>
      <c r="I91" s="5"/>
      <c r="J91" s="5"/>
      <c r="K91" s="5"/>
      <c r="L91" s="5"/>
      <c r="M91" s="5"/>
      <c r="N91" s="5"/>
      <c r="O91" s="5"/>
      <c r="P91" s="5"/>
      <c r="Q91" s="5"/>
      <c r="R91" s="5"/>
      <c r="S91" s="5"/>
      <c r="T91" s="5"/>
      <c r="U91" s="5"/>
      <c r="V91" s="5"/>
      <c r="W91" s="5"/>
      <c r="X91" s="5"/>
      <c r="Y91" s="5"/>
      <c r="Z91" s="5"/>
    </row>
    <row r="92" spans="1:26" ht="15.75" thickBot="1" x14ac:dyDescent="0.3">
      <c r="A92" s="5"/>
      <c r="B92" s="5"/>
      <c r="C92" s="5"/>
      <c r="D92" s="5"/>
      <c r="E92" s="47"/>
      <c r="F92" s="5"/>
      <c r="G92" s="5"/>
      <c r="H92" s="5"/>
      <c r="I92" s="5"/>
      <c r="J92" s="5"/>
      <c r="K92" s="5"/>
      <c r="L92" s="5"/>
      <c r="M92" s="5"/>
      <c r="N92" s="5"/>
      <c r="O92" s="5"/>
      <c r="P92" s="5"/>
      <c r="Q92" s="5"/>
      <c r="R92" s="5"/>
      <c r="S92" s="5"/>
      <c r="T92" s="5"/>
      <c r="U92" s="5"/>
      <c r="V92" s="5"/>
      <c r="W92" s="5"/>
      <c r="X92" s="5"/>
      <c r="Y92" s="5"/>
      <c r="Z92" s="5"/>
    </row>
    <row r="93" spans="1:26" ht="15.75" thickBot="1" x14ac:dyDescent="0.3">
      <c r="A93" s="5"/>
      <c r="B93" s="5"/>
      <c r="C93" s="5"/>
      <c r="D93" s="5"/>
      <c r="E93" s="47"/>
      <c r="F93" s="5"/>
      <c r="G93" s="5"/>
      <c r="H93" s="5"/>
      <c r="I93" s="5"/>
      <c r="J93" s="5"/>
      <c r="K93" s="5"/>
      <c r="L93" s="5"/>
      <c r="M93" s="5"/>
      <c r="N93" s="5"/>
      <c r="O93" s="5"/>
      <c r="P93" s="5"/>
      <c r="Q93" s="5"/>
      <c r="R93" s="5"/>
      <c r="S93" s="5"/>
      <c r="T93" s="5"/>
      <c r="U93" s="5"/>
      <c r="V93" s="5"/>
      <c r="W93" s="5"/>
      <c r="X93" s="5"/>
      <c r="Y93" s="5"/>
      <c r="Z93" s="5"/>
    </row>
    <row r="94" spans="1:26" ht="15.75" thickBot="1" x14ac:dyDescent="0.3">
      <c r="A94" s="5"/>
      <c r="B94" s="5"/>
      <c r="C94" s="5"/>
      <c r="D94" s="5"/>
      <c r="E94" s="47"/>
      <c r="F94" s="5"/>
      <c r="G94" s="5"/>
      <c r="H94" s="5"/>
      <c r="I94" s="5"/>
      <c r="J94" s="5"/>
      <c r="K94" s="5"/>
      <c r="L94" s="5"/>
      <c r="M94" s="5"/>
      <c r="N94" s="5"/>
      <c r="O94" s="5"/>
      <c r="P94" s="5"/>
      <c r="Q94" s="5"/>
      <c r="R94" s="5"/>
      <c r="S94" s="5"/>
      <c r="T94" s="5"/>
      <c r="U94" s="5"/>
      <c r="V94" s="5"/>
      <c r="W94" s="5"/>
      <c r="X94" s="5"/>
      <c r="Y94" s="5"/>
      <c r="Z94" s="5"/>
    </row>
    <row r="95" spans="1:26" ht="15.75" thickBot="1" x14ac:dyDescent="0.3">
      <c r="A95" s="5"/>
      <c r="B95" s="5"/>
      <c r="C95" s="5"/>
      <c r="D95" s="5"/>
      <c r="E95" s="47"/>
      <c r="F95" s="5"/>
      <c r="G95" s="5"/>
      <c r="H95" s="5"/>
      <c r="I95" s="5"/>
      <c r="J95" s="5"/>
      <c r="K95" s="5"/>
      <c r="L95" s="5"/>
      <c r="M95" s="5"/>
      <c r="N95" s="5"/>
      <c r="O95" s="5"/>
      <c r="P95" s="5"/>
      <c r="Q95" s="5"/>
      <c r="R95" s="5"/>
      <c r="S95" s="5"/>
      <c r="T95" s="5"/>
      <c r="U95" s="5"/>
      <c r="V95" s="5"/>
      <c r="W95" s="5"/>
      <c r="X95" s="5"/>
      <c r="Y95" s="5"/>
      <c r="Z95" s="5"/>
    </row>
    <row r="96" spans="1:26" ht="15.75" thickBot="1" x14ac:dyDescent="0.3">
      <c r="A96" s="5"/>
      <c r="B96" s="5"/>
      <c r="C96" s="5"/>
      <c r="D96" s="5"/>
      <c r="E96" s="47"/>
      <c r="F96" s="5"/>
      <c r="G96" s="5"/>
      <c r="H96" s="5"/>
      <c r="I96" s="5"/>
      <c r="J96" s="5"/>
      <c r="K96" s="5"/>
      <c r="L96" s="5"/>
      <c r="M96" s="5"/>
      <c r="N96" s="5"/>
      <c r="O96" s="5"/>
      <c r="P96" s="5"/>
      <c r="Q96" s="5"/>
      <c r="R96" s="5"/>
      <c r="S96" s="5"/>
      <c r="T96" s="5"/>
      <c r="U96" s="5"/>
      <c r="V96" s="5"/>
      <c r="W96" s="5"/>
      <c r="X96" s="5"/>
      <c r="Y96" s="5"/>
      <c r="Z96" s="5"/>
    </row>
    <row r="97" spans="1:26" ht="15.75" thickBot="1" x14ac:dyDescent="0.3">
      <c r="A97" s="5"/>
      <c r="B97" s="5"/>
      <c r="C97" s="5"/>
      <c r="D97" s="5"/>
      <c r="E97" s="47"/>
      <c r="F97" s="5"/>
      <c r="G97" s="5"/>
      <c r="H97" s="5"/>
      <c r="I97" s="5"/>
      <c r="J97" s="5"/>
      <c r="K97" s="5"/>
      <c r="L97" s="5"/>
      <c r="M97" s="5"/>
      <c r="N97" s="5"/>
      <c r="O97" s="5"/>
      <c r="P97" s="5"/>
      <c r="Q97" s="5"/>
      <c r="R97" s="5"/>
      <c r="S97" s="5"/>
      <c r="T97" s="5"/>
      <c r="U97" s="5"/>
      <c r="V97" s="5"/>
      <c r="W97" s="5"/>
      <c r="X97" s="5"/>
      <c r="Y97" s="5"/>
      <c r="Z97" s="5"/>
    </row>
    <row r="98" spans="1:26" ht="15.75" thickBot="1" x14ac:dyDescent="0.3">
      <c r="A98" s="5"/>
      <c r="B98" s="5"/>
      <c r="C98" s="5"/>
      <c r="D98" s="5"/>
      <c r="E98" s="47"/>
      <c r="F98" s="5"/>
      <c r="G98" s="5"/>
      <c r="H98" s="5"/>
      <c r="I98" s="5"/>
      <c r="J98" s="5"/>
      <c r="K98" s="5"/>
      <c r="L98" s="5"/>
      <c r="M98" s="5"/>
      <c r="N98" s="5"/>
      <c r="O98" s="5"/>
      <c r="P98" s="5"/>
      <c r="Q98" s="5"/>
      <c r="R98" s="5"/>
      <c r="S98" s="5"/>
      <c r="T98" s="5"/>
      <c r="U98" s="5"/>
      <c r="V98" s="5"/>
      <c r="W98" s="5"/>
      <c r="X98" s="5"/>
      <c r="Y98" s="5"/>
      <c r="Z98" s="5"/>
    </row>
    <row r="99" spans="1:26" ht="15.75" thickBot="1" x14ac:dyDescent="0.3">
      <c r="A99" s="5"/>
      <c r="B99" s="5"/>
      <c r="C99" s="5"/>
      <c r="D99" s="5"/>
      <c r="E99" s="47"/>
      <c r="F99" s="5"/>
      <c r="G99" s="5"/>
      <c r="H99" s="5"/>
      <c r="I99" s="5"/>
      <c r="J99" s="5"/>
      <c r="K99" s="5"/>
      <c r="L99" s="5"/>
      <c r="M99" s="5"/>
      <c r="N99" s="5"/>
      <c r="O99" s="5"/>
      <c r="P99" s="5"/>
      <c r="Q99" s="5"/>
      <c r="R99" s="5"/>
      <c r="S99" s="5"/>
      <c r="T99" s="5"/>
      <c r="U99" s="5"/>
      <c r="V99" s="5"/>
      <c r="W99" s="5"/>
      <c r="X99" s="5"/>
      <c r="Y99" s="5"/>
      <c r="Z99" s="5"/>
    </row>
    <row r="100" spans="1:26" ht="15.75" thickBot="1" x14ac:dyDescent="0.3">
      <c r="A100" s="5"/>
      <c r="B100" s="5"/>
      <c r="C100" s="5"/>
      <c r="D100" s="5"/>
      <c r="E100" s="47"/>
      <c r="F100" s="5"/>
      <c r="G100" s="5"/>
      <c r="H100" s="5"/>
      <c r="I100" s="5"/>
      <c r="J100" s="5"/>
      <c r="K100" s="5"/>
      <c r="L100" s="5"/>
      <c r="M100" s="5"/>
      <c r="N100" s="5"/>
      <c r="O100" s="5"/>
      <c r="P100" s="5"/>
      <c r="Q100" s="5"/>
      <c r="R100" s="5"/>
      <c r="S100" s="5"/>
      <c r="T100" s="5"/>
      <c r="U100" s="5"/>
      <c r="V100" s="5"/>
      <c r="W100" s="5"/>
      <c r="X100" s="5"/>
      <c r="Y100" s="5"/>
      <c r="Z100" s="5"/>
    </row>
    <row r="101" spans="1:26" ht="15.75" thickBot="1" x14ac:dyDescent="0.3">
      <c r="A101" s="5"/>
      <c r="B101" s="5"/>
      <c r="C101" s="5"/>
      <c r="D101" s="5"/>
      <c r="E101" s="47"/>
      <c r="F101" s="5"/>
      <c r="G101" s="5"/>
      <c r="H101" s="5"/>
      <c r="I101" s="5"/>
      <c r="J101" s="5"/>
      <c r="K101" s="5"/>
      <c r="L101" s="5"/>
      <c r="M101" s="5"/>
      <c r="N101" s="5"/>
      <c r="O101" s="5"/>
      <c r="P101" s="5"/>
      <c r="Q101" s="5"/>
      <c r="R101" s="5"/>
      <c r="S101" s="5"/>
      <c r="T101" s="5"/>
      <c r="U101" s="5"/>
      <c r="V101" s="5"/>
      <c r="W101" s="5"/>
      <c r="X101" s="5"/>
      <c r="Y101" s="5"/>
      <c r="Z101" s="5"/>
    </row>
    <row r="102" spans="1:26" ht="15.75" thickBot="1" x14ac:dyDescent="0.3">
      <c r="A102" s="5"/>
      <c r="B102" s="5"/>
      <c r="C102" s="5"/>
      <c r="D102" s="5"/>
      <c r="E102" s="47"/>
      <c r="F102" s="5"/>
      <c r="G102" s="5"/>
      <c r="H102" s="5"/>
      <c r="I102" s="5"/>
      <c r="J102" s="5"/>
      <c r="K102" s="5"/>
      <c r="L102" s="5"/>
      <c r="M102" s="5"/>
      <c r="N102" s="5"/>
      <c r="O102" s="5"/>
      <c r="P102" s="5"/>
      <c r="Q102" s="5"/>
      <c r="R102" s="5"/>
      <c r="S102" s="5"/>
      <c r="T102" s="5"/>
      <c r="U102" s="5"/>
      <c r="V102" s="5"/>
      <c r="W102" s="5"/>
      <c r="X102" s="5"/>
      <c r="Y102" s="5"/>
      <c r="Z102" s="5"/>
    </row>
    <row r="103" spans="1:26" ht="15.75" thickBot="1" x14ac:dyDescent="0.3">
      <c r="A103" s="5"/>
      <c r="B103" s="5"/>
      <c r="C103" s="5"/>
      <c r="D103" s="5"/>
      <c r="E103" s="47"/>
      <c r="F103" s="5"/>
      <c r="G103" s="5"/>
      <c r="H103" s="5"/>
      <c r="I103" s="5"/>
      <c r="J103" s="5"/>
      <c r="K103" s="5"/>
      <c r="L103" s="5"/>
      <c r="M103" s="5"/>
      <c r="N103" s="5"/>
      <c r="O103" s="5"/>
      <c r="P103" s="5"/>
      <c r="Q103" s="5"/>
      <c r="R103" s="5"/>
      <c r="S103" s="5"/>
      <c r="T103" s="5"/>
      <c r="U103" s="5"/>
      <c r="V103" s="5"/>
      <c r="W103" s="5"/>
      <c r="X103" s="5"/>
      <c r="Y103" s="5"/>
      <c r="Z103" s="5"/>
    </row>
    <row r="104" spans="1:26" ht="15.75" thickBot="1" x14ac:dyDescent="0.3">
      <c r="A104" s="5"/>
      <c r="B104" s="5"/>
      <c r="C104" s="5"/>
      <c r="D104" s="5"/>
      <c r="E104" s="47"/>
      <c r="F104" s="5"/>
      <c r="G104" s="5"/>
      <c r="H104" s="5"/>
      <c r="I104" s="5"/>
      <c r="J104" s="5"/>
      <c r="K104" s="5"/>
      <c r="L104" s="5"/>
      <c r="M104" s="5"/>
      <c r="N104" s="5"/>
      <c r="O104" s="5"/>
      <c r="P104" s="5"/>
      <c r="Q104" s="5"/>
      <c r="R104" s="5"/>
      <c r="S104" s="5"/>
      <c r="T104" s="5"/>
      <c r="U104" s="5"/>
      <c r="V104" s="5"/>
      <c r="W104" s="5"/>
      <c r="X104" s="5"/>
      <c r="Y104" s="5"/>
      <c r="Z104" s="5"/>
    </row>
    <row r="105" spans="1:26" ht="15.75" thickBot="1" x14ac:dyDescent="0.3">
      <c r="A105" s="5"/>
      <c r="B105" s="5"/>
      <c r="C105" s="5"/>
      <c r="D105" s="5"/>
      <c r="E105" s="47"/>
      <c r="F105" s="5"/>
      <c r="G105" s="5"/>
      <c r="H105" s="5"/>
      <c r="I105" s="5"/>
      <c r="J105" s="5"/>
      <c r="K105" s="5"/>
      <c r="L105" s="5"/>
      <c r="M105" s="5"/>
      <c r="N105" s="5"/>
      <c r="O105" s="5"/>
      <c r="P105" s="5"/>
      <c r="Q105" s="5"/>
      <c r="R105" s="5"/>
      <c r="S105" s="5"/>
      <c r="T105" s="5"/>
      <c r="U105" s="5"/>
      <c r="V105" s="5"/>
      <c r="W105" s="5"/>
      <c r="X105" s="5"/>
      <c r="Y105" s="5"/>
      <c r="Z105" s="5"/>
    </row>
    <row r="106" spans="1:26" ht="15.75" thickBot="1" x14ac:dyDescent="0.3">
      <c r="A106" s="5"/>
      <c r="B106" s="5"/>
      <c r="C106" s="5"/>
      <c r="D106" s="5"/>
      <c r="E106" s="47"/>
      <c r="F106" s="5"/>
      <c r="G106" s="5"/>
      <c r="H106" s="5"/>
      <c r="I106" s="5"/>
      <c r="J106" s="5"/>
      <c r="K106" s="5"/>
      <c r="L106" s="5"/>
      <c r="M106" s="5"/>
      <c r="N106" s="5"/>
      <c r="O106" s="5"/>
      <c r="P106" s="5"/>
      <c r="Q106" s="5"/>
      <c r="R106" s="5"/>
      <c r="S106" s="5"/>
      <c r="T106" s="5"/>
      <c r="U106" s="5"/>
      <c r="V106" s="5"/>
      <c r="W106" s="5"/>
      <c r="X106" s="5"/>
      <c r="Y106" s="5"/>
      <c r="Z106" s="5"/>
    </row>
    <row r="107" spans="1:26" ht="15.75" thickBot="1" x14ac:dyDescent="0.3">
      <c r="A107" s="5"/>
      <c r="B107" s="5"/>
      <c r="C107" s="5"/>
      <c r="D107" s="5"/>
      <c r="E107" s="47"/>
      <c r="F107" s="5"/>
      <c r="G107" s="5"/>
      <c r="H107" s="5"/>
      <c r="I107" s="5"/>
      <c r="J107" s="5"/>
      <c r="K107" s="5"/>
      <c r="L107" s="5"/>
      <c r="M107" s="5"/>
      <c r="N107" s="5"/>
      <c r="O107" s="5"/>
      <c r="P107" s="5"/>
      <c r="Q107" s="5"/>
      <c r="R107" s="5"/>
      <c r="S107" s="5"/>
      <c r="T107" s="5"/>
      <c r="U107" s="5"/>
      <c r="V107" s="5"/>
      <c r="W107" s="5"/>
      <c r="X107" s="5"/>
      <c r="Y107" s="5"/>
      <c r="Z107" s="5"/>
    </row>
    <row r="108" spans="1:26" ht="15.75" thickBot="1" x14ac:dyDescent="0.3">
      <c r="A108" s="5"/>
      <c r="B108" s="5"/>
      <c r="C108" s="5"/>
      <c r="D108" s="5"/>
      <c r="E108" s="47"/>
      <c r="F108" s="5"/>
      <c r="G108" s="5"/>
      <c r="H108" s="5"/>
      <c r="I108" s="5"/>
      <c r="J108" s="5"/>
      <c r="K108" s="5"/>
      <c r="L108" s="5"/>
      <c r="M108" s="5"/>
      <c r="N108" s="5"/>
      <c r="O108" s="5"/>
      <c r="P108" s="5"/>
      <c r="Q108" s="5"/>
      <c r="R108" s="5"/>
      <c r="S108" s="5"/>
      <c r="T108" s="5"/>
      <c r="U108" s="5"/>
      <c r="V108" s="5"/>
      <c r="W108" s="5"/>
      <c r="X108" s="5"/>
      <c r="Y108" s="5"/>
      <c r="Z108" s="5"/>
    </row>
    <row r="109" spans="1:26" ht="15.75" thickBot="1" x14ac:dyDescent="0.3">
      <c r="A109" s="5"/>
      <c r="B109" s="5"/>
      <c r="C109" s="5"/>
      <c r="D109" s="5"/>
      <c r="E109" s="47"/>
      <c r="F109" s="5"/>
      <c r="G109" s="5"/>
      <c r="H109" s="5"/>
      <c r="I109" s="5"/>
      <c r="J109" s="5"/>
      <c r="K109" s="5"/>
      <c r="L109" s="5"/>
      <c r="M109" s="5"/>
      <c r="N109" s="5"/>
      <c r="O109" s="5"/>
      <c r="P109" s="5"/>
      <c r="Q109" s="5"/>
      <c r="R109" s="5"/>
      <c r="S109" s="5"/>
      <c r="T109" s="5"/>
      <c r="U109" s="5"/>
      <c r="V109" s="5"/>
      <c r="W109" s="5"/>
      <c r="X109" s="5"/>
      <c r="Y109" s="5"/>
      <c r="Z109" s="5"/>
    </row>
    <row r="110" spans="1:26" ht="15.75" thickBot="1" x14ac:dyDescent="0.3">
      <c r="A110" s="5"/>
      <c r="B110" s="5"/>
      <c r="C110" s="5"/>
      <c r="D110" s="5"/>
      <c r="E110" s="47"/>
      <c r="F110" s="5"/>
      <c r="G110" s="5"/>
      <c r="H110" s="5"/>
      <c r="I110" s="5"/>
      <c r="J110" s="5"/>
      <c r="K110" s="5"/>
      <c r="L110" s="5"/>
      <c r="M110" s="5"/>
      <c r="N110" s="5"/>
      <c r="O110" s="5"/>
      <c r="P110" s="5"/>
      <c r="Q110" s="5"/>
      <c r="R110" s="5"/>
      <c r="S110" s="5"/>
      <c r="T110" s="5"/>
      <c r="U110" s="5"/>
      <c r="V110" s="5"/>
      <c r="W110" s="5"/>
      <c r="X110" s="5"/>
      <c r="Y110" s="5"/>
      <c r="Z110" s="5"/>
    </row>
    <row r="111" spans="1:26" ht="15.75" thickBot="1" x14ac:dyDescent="0.3">
      <c r="A111" s="5"/>
      <c r="B111" s="5"/>
      <c r="C111" s="5"/>
      <c r="D111" s="5"/>
      <c r="E111" s="47"/>
      <c r="F111" s="5"/>
      <c r="G111" s="5"/>
      <c r="H111" s="5"/>
      <c r="I111" s="5"/>
      <c r="J111" s="5"/>
      <c r="K111" s="5"/>
      <c r="L111" s="5"/>
      <c r="M111" s="5"/>
      <c r="N111" s="5"/>
      <c r="O111" s="5"/>
      <c r="P111" s="5"/>
      <c r="Q111" s="5"/>
      <c r="R111" s="5"/>
      <c r="S111" s="5"/>
      <c r="T111" s="5"/>
      <c r="U111" s="5"/>
      <c r="V111" s="5"/>
      <c r="W111" s="5"/>
      <c r="X111" s="5"/>
      <c r="Y111" s="5"/>
      <c r="Z111" s="5"/>
    </row>
    <row r="112" spans="1:26" ht="15.75" thickBot="1" x14ac:dyDescent="0.3">
      <c r="A112" s="5"/>
      <c r="B112" s="5"/>
      <c r="C112" s="5"/>
      <c r="D112" s="5"/>
      <c r="E112" s="47"/>
      <c r="F112" s="5"/>
      <c r="G112" s="5"/>
      <c r="H112" s="5"/>
      <c r="I112" s="5"/>
      <c r="J112" s="5"/>
      <c r="K112" s="5"/>
      <c r="L112" s="5"/>
      <c r="M112" s="5"/>
      <c r="N112" s="5"/>
      <c r="O112" s="5"/>
      <c r="P112" s="5"/>
      <c r="Q112" s="5"/>
      <c r="R112" s="5"/>
      <c r="S112" s="5"/>
      <c r="T112" s="5"/>
      <c r="U112" s="5"/>
      <c r="V112" s="5"/>
      <c r="W112" s="5"/>
      <c r="X112" s="5"/>
      <c r="Y112" s="5"/>
      <c r="Z112" s="5"/>
    </row>
    <row r="113" spans="1:26" ht="15.75" thickBot="1" x14ac:dyDescent="0.3">
      <c r="A113" s="5"/>
      <c r="B113" s="5"/>
      <c r="C113" s="5"/>
      <c r="D113" s="5"/>
      <c r="E113" s="47"/>
      <c r="F113" s="5"/>
      <c r="G113" s="5"/>
      <c r="H113" s="5"/>
      <c r="I113" s="5"/>
      <c r="J113" s="5"/>
      <c r="K113" s="5"/>
      <c r="L113" s="5"/>
      <c r="M113" s="5"/>
      <c r="N113" s="5"/>
      <c r="O113" s="5"/>
      <c r="P113" s="5"/>
      <c r="Q113" s="5"/>
      <c r="R113" s="5"/>
      <c r="S113" s="5"/>
      <c r="T113" s="5"/>
      <c r="U113" s="5"/>
      <c r="V113" s="5"/>
      <c r="W113" s="5"/>
      <c r="X113" s="5"/>
      <c r="Y113" s="5"/>
      <c r="Z113" s="5"/>
    </row>
    <row r="114" spans="1:26" ht="15.75" thickBot="1" x14ac:dyDescent="0.3">
      <c r="A114" s="5"/>
      <c r="B114" s="5"/>
      <c r="C114" s="5"/>
      <c r="D114" s="5"/>
      <c r="E114" s="47"/>
      <c r="F114" s="5"/>
      <c r="G114" s="5"/>
      <c r="H114" s="5"/>
      <c r="I114" s="5"/>
      <c r="J114" s="5"/>
      <c r="K114" s="5"/>
      <c r="L114" s="5"/>
      <c r="M114" s="5"/>
      <c r="N114" s="5"/>
      <c r="O114" s="5"/>
      <c r="P114" s="5"/>
      <c r="Q114" s="5"/>
      <c r="R114" s="5"/>
      <c r="S114" s="5"/>
      <c r="T114" s="5"/>
      <c r="U114" s="5"/>
      <c r="V114" s="5"/>
      <c r="W114" s="5"/>
      <c r="X114" s="5"/>
      <c r="Y114" s="5"/>
      <c r="Z114" s="5"/>
    </row>
    <row r="115" spans="1:26" ht="15.75" thickBot="1" x14ac:dyDescent="0.3">
      <c r="A115" s="5"/>
      <c r="B115" s="5"/>
      <c r="C115" s="5"/>
      <c r="D115" s="5"/>
      <c r="E115" s="47"/>
      <c r="F115" s="5"/>
      <c r="G115" s="5"/>
      <c r="H115" s="5"/>
      <c r="I115" s="5"/>
      <c r="J115" s="5"/>
      <c r="K115" s="5"/>
      <c r="L115" s="5"/>
      <c r="M115" s="5"/>
      <c r="N115" s="5"/>
      <c r="O115" s="5"/>
      <c r="P115" s="5"/>
      <c r="Q115" s="5"/>
      <c r="R115" s="5"/>
      <c r="S115" s="5"/>
      <c r="T115" s="5"/>
      <c r="U115" s="5"/>
      <c r="V115" s="5"/>
      <c r="W115" s="5"/>
      <c r="X115" s="5"/>
      <c r="Y115" s="5"/>
      <c r="Z115" s="5"/>
    </row>
    <row r="116" spans="1:26" ht="15.75" thickBot="1" x14ac:dyDescent="0.3">
      <c r="A116" s="5"/>
      <c r="B116" s="5"/>
      <c r="C116" s="5"/>
      <c r="D116" s="5"/>
      <c r="E116" s="47"/>
      <c r="F116" s="5"/>
      <c r="G116" s="5"/>
      <c r="H116" s="5"/>
      <c r="I116" s="5"/>
      <c r="J116" s="5"/>
      <c r="K116" s="5"/>
      <c r="L116" s="5"/>
      <c r="M116" s="5"/>
      <c r="N116" s="5"/>
      <c r="O116" s="5"/>
      <c r="P116" s="5"/>
      <c r="Q116" s="5"/>
      <c r="R116" s="5"/>
      <c r="S116" s="5"/>
      <c r="T116" s="5"/>
      <c r="U116" s="5"/>
      <c r="V116" s="5"/>
      <c r="W116" s="5"/>
      <c r="X116" s="5"/>
      <c r="Y116" s="5"/>
      <c r="Z116" s="5"/>
    </row>
    <row r="117" spans="1:26" ht="15.75" thickBot="1" x14ac:dyDescent="0.3">
      <c r="A117" s="5"/>
      <c r="B117" s="5"/>
      <c r="C117" s="5"/>
      <c r="D117" s="5"/>
      <c r="E117" s="47"/>
      <c r="F117" s="5"/>
      <c r="G117" s="5"/>
      <c r="H117" s="5"/>
      <c r="I117" s="5"/>
      <c r="J117" s="5"/>
      <c r="K117" s="5"/>
      <c r="L117" s="5"/>
      <c r="M117" s="5"/>
      <c r="N117" s="5"/>
      <c r="O117" s="5"/>
      <c r="P117" s="5"/>
      <c r="Q117" s="5"/>
      <c r="R117" s="5"/>
      <c r="S117" s="5"/>
      <c r="T117" s="5"/>
      <c r="U117" s="5"/>
      <c r="V117" s="5"/>
      <c r="W117" s="5"/>
      <c r="X117" s="5"/>
      <c r="Y117" s="5"/>
      <c r="Z117" s="5"/>
    </row>
    <row r="118" spans="1:26" ht="15.75" thickBot="1" x14ac:dyDescent="0.3">
      <c r="A118" s="5"/>
      <c r="B118" s="5"/>
      <c r="C118" s="5"/>
      <c r="D118" s="5"/>
      <c r="E118" s="47"/>
      <c r="F118" s="5"/>
      <c r="G118" s="5"/>
      <c r="H118" s="5"/>
      <c r="I118" s="5"/>
      <c r="J118" s="5"/>
      <c r="K118" s="5"/>
      <c r="L118" s="5"/>
      <c r="M118" s="5"/>
      <c r="N118" s="5"/>
      <c r="O118" s="5"/>
      <c r="P118" s="5"/>
      <c r="Q118" s="5"/>
      <c r="R118" s="5"/>
      <c r="S118" s="5"/>
      <c r="T118" s="5"/>
      <c r="U118" s="5"/>
      <c r="V118" s="5"/>
      <c r="W118" s="5"/>
      <c r="X118" s="5"/>
      <c r="Y118" s="5"/>
      <c r="Z118" s="5"/>
    </row>
    <row r="119" spans="1:26" ht="15.75" thickBot="1" x14ac:dyDescent="0.3">
      <c r="A119" s="5"/>
      <c r="B119" s="5"/>
      <c r="C119" s="5"/>
      <c r="D119" s="5"/>
      <c r="E119" s="47"/>
      <c r="F119" s="5"/>
      <c r="G119" s="5"/>
      <c r="H119" s="5"/>
      <c r="I119" s="5"/>
      <c r="J119" s="5"/>
      <c r="K119" s="5"/>
      <c r="L119" s="5"/>
      <c r="M119" s="5"/>
      <c r="N119" s="5"/>
      <c r="O119" s="5"/>
      <c r="P119" s="5"/>
      <c r="Q119" s="5"/>
      <c r="R119" s="5"/>
      <c r="S119" s="5"/>
      <c r="T119" s="5"/>
      <c r="U119" s="5"/>
      <c r="V119" s="5"/>
      <c r="W119" s="5"/>
      <c r="X119" s="5"/>
      <c r="Y119" s="5"/>
      <c r="Z119" s="5"/>
    </row>
    <row r="120" spans="1:26" ht="15.75" thickBot="1" x14ac:dyDescent="0.3">
      <c r="A120" s="5"/>
      <c r="B120" s="5"/>
      <c r="C120" s="5"/>
      <c r="D120" s="5"/>
      <c r="E120" s="47"/>
      <c r="F120" s="5"/>
      <c r="G120" s="5"/>
      <c r="H120" s="5"/>
      <c r="I120" s="5"/>
      <c r="J120" s="5"/>
      <c r="K120" s="5"/>
      <c r="L120" s="5"/>
      <c r="M120" s="5"/>
      <c r="N120" s="5"/>
      <c r="O120" s="5"/>
      <c r="P120" s="5"/>
      <c r="Q120" s="5"/>
      <c r="R120" s="5"/>
      <c r="S120" s="5"/>
      <c r="T120" s="5"/>
      <c r="U120" s="5"/>
      <c r="V120" s="5"/>
      <c r="W120" s="5"/>
      <c r="X120" s="5"/>
      <c r="Y120" s="5"/>
      <c r="Z120" s="5"/>
    </row>
    <row r="121" spans="1:26" ht="15.75" thickBot="1" x14ac:dyDescent="0.3">
      <c r="A121" s="5"/>
      <c r="B121" s="5"/>
      <c r="C121" s="5"/>
      <c r="D121" s="5"/>
      <c r="E121" s="47"/>
      <c r="F121" s="5"/>
      <c r="G121" s="5"/>
      <c r="H121" s="5"/>
      <c r="I121" s="5"/>
      <c r="J121" s="5"/>
      <c r="K121" s="5"/>
      <c r="L121" s="5"/>
      <c r="M121" s="5"/>
      <c r="N121" s="5"/>
      <c r="O121" s="5"/>
      <c r="P121" s="5"/>
      <c r="Q121" s="5"/>
      <c r="R121" s="5"/>
      <c r="S121" s="5"/>
      <c r="T121" s="5"/>
      <c r="U121" s="5"/>
      <c r="V121" s="5"/>
      <c r="W121" s="5"/>
      <c r="X121" s="5"/>
      <c r="Y121" s="5"/>
      <c r="Z121" s="5"/>
    </row>
    <row r="122" spans="1:26" ht="15.75" thickBot="1" x14ac:dyDescent="0.3">
      <c r="A122" s="5"/>
      <c r="B122" s="5"/>
      <c r="C122" s="5"/>
      <c r="D122" s="5"/>
      <c r="E122" s="47"/>
      <c r="F122" s="5"/>
      <c r="G122" s="5"/>
      <c r="H122" s="5"/>
      <c r="I122" s="5"/>
      <c r="J122" s="5"/>
      <c r="K122" s="5"/>
      <c r="L122" s="5"/>
      <c r="M122" s="5"/>
      <c r="N122" s="5"/>
      <c r="O122" s="5"/>
      <c r="P122" s="5"/>
      <c r="Q122" s="5"/>
      <c r="R122" s="5"/>
      <c r="S122" s="5"/>
      <c r="T122" s="5"/>
      <c r="U122" s="5"/>
      <c r="V122" s="5"/>
      <c r="W122" s="5"/>
      <c r="X122" s="5"/>
      <c r="Y122" s="5"/>
      <c r="Z122" s="5"/>
    </row>
    <row r="123" spans="1:26" ht="15.75" thickBot="1" x14ac:dyDescent="0.3">
      <c r="A123" s="5"/>
      <c r="B123" s="5"/>
      <c r="C123" s="5"/>
      <c r="D123" s="5"/>
      <c r="E123" s="47"/>
      <c r="F123" s="5"/>
      <c r="G123" s="5"/>
      <c r="H123" s="5"/>
      <c r="I123" s="5"/>
      <c r="J123" s="5"/>
      <c r="K123" s="5"/>
      <c r="L123" s="5"/>
      <c r="M123" s="5"/>
      <c r="N123" s="5"/>
      <c r="O123" s="5"/>
      <c r="P123" s="5"/>
      <c r="Q123" s="5"/>
      <c r="R123" s="5"/>
      <c r="S123" s="5"/>
      <c r="T123" s="5"/>
      <c r="U123" s="5"/>
      <c r="V123" s="5"/>
      <c r="W123" s="5"/>
      <c r="X123" s="5"/>
      <c r="Y123" s="5"/>
      <c r="Z123" s="5"/>
    </row>
    <row r="124" spans="1:26" ht="15.75" thickBot="1" x14ac:dyDescent="0.3">
      <c r="A124" s="5"/>
      <c r="B124" s="5"/>
      <c r="C124" s="5"/>
      <c r="D124" s="5"/>
      <c r="E124" s="47"/>
      <c r="F124" s="5"/>
      <c r="G124" s="5"/>
      <c r="H124" s="5"/>
      <c r="I124" s="5"/>
      <c r="J124" s="5"/>
      <c r="K124" s="5"/>
      <c r="L124" s="5"/>
      <c r="M124" s="5"/>
      <c r="N124" s="5"/>
      <c r="O124" s="5"/>
      <c r="P124" s="5"/>
      <c r="Q124" s="5"/>
      <c r="R124" s="5"/>
      <c r="S124" s="5"/>
      <c r="T124" s="5"/>
      <c r="U124" s="5"/>
      <c r="V124" s="5"/>
      <c r="W124" s="5"/>
      <c r="X124" s="5"/>
      <c r="Y124" s="5"/>
      <c r="Z124" s="5"/>
    </row>
    <row r="125" spans="1:26" ht="15.75" thickBot="1" x14ac:dyDescent="0.3">
      <c r="A125" s="5"/>
      <c r="B125" s="5"/>
      <c r="C125" s="5"/>
      <c r="D125" s="5"/>
      <c r="E125" s="47"/>
      <c r="F125" s="5"/>
      <c r="G125" s="5"/>
      <c r="H125" s="5"/>
      <c r="I125" s="5"/>
      <c r="J125" s="5"/>
      <c r="K125" s="5"/>
      <c r="L125" s="5"/>
      <c r="M125" s="5"/>
      <c r="N125" s="5"/>
      <c r="O125" s="5"/>
      <c r="P125" s="5"/>
      <c r="Q125" s="5"/>
      <c r="R125" s="5"/>
      <c r="S125" s="5"/>
      <c r="T125" s="5"/>
      <c r="U125" s="5"/>
      <c r="V125" s="5"/>
      <c r="W125" s="5"/>
      <c r="X125" s="5"/>
      <c r="Y125" s="5"/>
      <c r="Z125" s="5"/>
    </row>
    <row r="126" spans="1:26" ht="15.75" thickBot="1" x14ac:dyDescent="0.3">
      <c r="A126" s="5"/>
      <c r="B126" s="5"/>
      <c r="C126" s="5"/>
      <c r="D126" s="5"/>
      <c r="E126" s="47"/>
      <c r="F126" s="5"/>
      <c r="G126" s="5"/>
      <c r="H126" s="5"/>
      <c r="I126" s="5"/>
      <c r="J126" s="5"/>
      <c r="K126" s="5"/>
      <c r="L126" s="5"/>
      <c r="M126" s="5"/>
      <c r="N126" s="5"/>
      <c r="O126" s="5"/>
      <c r="P126" s="5"/>
      <c r="Q126" s="5"/>
      <c r="R126" s="5"/>
      <c r="S126" s="5"/>
      <c r="T126" s="5"/>
      <c r="U126" s="5"/>
      <c r="V126" s="5"/>
      <c r="W126" s="5"/>
      <c r="X126" s="5"/>
      <c r="Y126" s="5"/>
      <c r="Z126" s="5"/>
    </row>
    <row r="127" spans="1:26" ht="15.75" thickBot="1" x14ac:dyDescent="0.3">
      <c r="A127" s="5"/>
      <c r="B127" s="5"/>
      <c r="C127" s="5"/>
      <c r="D127" s="5"/>
      <c r="E127" s="47"/>
      <c r="F127" s="5"/>
      <c r="G127" s="5"/>
      <c r="H127" s="5"/>
      <c r="I127" s="5"/>
      <c r="J127" s="5"/>
      <c r="K127" s="5"/>
      <c r="L127" s="5"/>
      <c r="M127" s="5"/>
      <c r="N127" s="5"/>
      <c r="O127" s="5"/>
      <c r="P127" s="5"/>
      <c r="Q127" s="5"/>
      <c r="R127" s="5"/>
      <c r="S127" s="5"/>
      <c r="T127" s="5"/>
      <c r="U127" s="5"/>
      <c r="V127" s="5"/>
      <c r="W127" s="5"/>
      <c r="X127" s="5"/>
      <c r="Y127" s="5"/>
      <c r="Z127" s="5"/>
    </row>
    <row r="128" spans="1:26" ht="15.75" thickBot="1" x14ac:dyDescent="0.3">
      <c r="A128" s="5"/>
      <c r="B128" s="5"/>
      <c r="C128" s="5"/>
      <c r="D128" s="5"/>
      <c r="E128" s="47"/>
      <c r="F128" s="5"/>
      <c r="G128" s="5"/>
      <c r="H128" s="5"/>
      <c r="I128" s="5"/>
      <c r="J128" s="5"/>
      <c r="K128" s="5"/>
      <c r="L128" s="5"/>
      <c r="M128" s="5"/>
      <c r="N128" s="5"/>
      <c r="O128" s="5"/>
      <c r="P128" s="5"/>
      <c r="Q128" s="5"/>
      <c r="R128" s="5"/>
      <c r="S128" s="5"/>
      <c r="T128" s="5"/>
      <c r="U128" s="5"/>
      <c r="V128" s="5"/>
      <c r="W128" s="5"/>
      <c r="X128" s="5"/>
      <c r="Y128" s="5"/>
      <c r="Z128" s="5"/>
    </row>
    <row r="129" spans="1:26" ht="15.75" thickBot="1" x14ac:dyDescent="0.3">
      <c r="A129" s="5"/>
      <c r="B129" s="5"/>
      <c r="C129" s="5"/>
      <c r="D129" s="5"/>
      <c r="E129" s="47"/>
      <c r="F129" s="5"/>
      <c r="G129" s="5"/>
      <c r="H129" s="5"/>
      <c r="I129" s="5"/>
      <c r="J129" s="5"/>
      <c r="K129" s="5"/>
      <c r="L129" s="5"/>
      <c r="M129" s="5"/>
      <c r="N129" s="5"/>
      <c r="O129" s="5"/>
      <c r="P129" s="5"/>
      <c r="Q129" s="5"/>
      <c r="R129" s="5"/>
      <c r="S129" s="5"/>
      <c r="T129" s="5"/>
      <c r="U129" s="5"/>
      <c r="V129" s="5"/>
      <c r="W129" s="5"/>
      <c r="X129" s="5"/>
      <c r="Y129" s="5"/>
      <c r="Z129" s="5"/>
    </row>
    <row r="130" spans="1:26" ht="15.75" thickBot="1" x14ac:dyDescent="0.3">
      <c r="A130" s="5"/>
      <c r="B130" s="5"/>
      <c r="C130" s="5"/>
      <c r="D130" s="5"/>
      <c r="E130" s="47"/>
      <c r="F130" s="5"/>
      <c r="G130" s="5"/>
      <c r="H130" s="5"/>
      <c r="I130" s="5"/>
      <c r="J130" s="5"/>
      <c r="K130" s="5"/>
      <c r="L130" s="5"/>
      <c r="M130" s="5"/>
      <c r="N130" s="5"/>
      <c r="O130" s="5"/>
      <c r="P130" s="5"/>
      <c r="Q130" s="5"/>
      <c r="R130" s="5"/>
      <c r="S130" s="5"/>
      <c r="T130" s="5"/>
      <c r="U130" s="5"/>
      <c r="V130" s="5"/>
      <c r="W130" s="5"/>
      <c r="X130" s="5"/>
      <c r="Y130" s="5"/>
      <c r="Z130" s="5"/>
    </row>
    <row r="131" spans="1:26" ht="15.75" thickBot="1" x14ac:dyDescent="0.3">
      <c r="A131" s="5"/>
      <c r="B131" s="5"/>
      <c r="C131" s="5"/>
      <c r="D131" s="5"/>
      <c r="E131" s="47"/>
      <c r="F131" s="5"/>
      <c r="G131" s="5"/>
      <c r="H131" s="5"/>
      <c r="I131" s="5"/>
      <c r="J131" s="5"/>
      <c r="K131" s="5"/>
      <c r="L131" s="5"/>
      <c r="M131" s="5"/>
      <c r="N131" s="5"/>
      <c r="O131" s="5"/>
      <c r="P131" s="5"/>
      <c r="Q131" s="5"/>
      <c r="R131" s="5"/>
      <c r="S131" s="5"/>
      <c r="T131" s="5"/>
      <c r="U131" s="5"/>
      <c r="V131" s="5"/>
      <c r="W131" s="5"/>
      <c r="X131" s="5"/>
      <c r="Y131" s="5"/>
      <c r="Z131" s="5"/>
    </row>
    <row r="132" spans="1:26" ht="15.75" thickBot="1" x14ac:dyDescent="0.3">
      <c r="A132" s="5"/>
      <c r="B132" s="5"/>
      <c r="C132" s="5"/>
      <c r="D132" s="5"/>
      <c r="E132" s="47"/>
      <c r="F132" s="5"/>
      <c r="G132" s="5"/>
      <c r="H132" s="5"/>
      <c r="I132" s="5"/>
      <c r="J132" s="5"/>
      <c r="K132" s="5"/>
      <c r="L132" s="5"/>
      <c r="M132" s="5"/>
      <c r="N132" s="5"/>
      <c r="O132" s="5"/>
      <c r="P132" s="5"/>
      <c r="Q132" s="5"/>
      <c r="R132" s="5"/>
      <c r="S132" s="5"/>
      <c r="T132" s="5"/>
      <c r="U132" s="5"/>
      <c r="V132" s="5"/>
      <c r="W132" s="5"/>
      <c r="X132" s="5"/>
      <c r="Y132" s="5"/>
      <c r="Z132" s="5"/>
    </row>
    <row r="133" spans="1:26" ht="15.75" thickBot="1" x14ac:dyDescent="0.3">
      <c r="A133" s="5"/>
      <c r="B133" s="5"/>
      <c r="C133" s="5"/>
      <c r="D133" s="5"/>
      <c r="E133" s="47"/>
      <c r="F133" s="5"/>
      <c r="G133" s="5"/>
      <c r="H133" s="5"/>
      <c r="I133" s="5"/>
      <c r="J133" s="5"/>
      <c r="K133" s="5"/>
      <c r="L133" s="5"/>
      <c r="M133" s="5"/>
      <c r="N133" s="5"/>
      <c r="O133" s="5"/>
      <c r="P133" s="5"/>
      <c r="Q133" s="5"/>
      <c r="R133" s="5"/>
      <c r="S133" s="5"/>
      <c r="T133" s="5"/>
      <c r="U133" s="5"/>
      <c r="V133" s="5"/>
      <c r="W133" s="5"/>
      <c r="X133" s="5"/>
      <c r="Y133" s="5"/>
      <c r="Z133" s="5"/>
    </row>
    <row r="134" spans="1:26" ht="15.75" thickBot="1" x14ac:dyDescent="0.3">
      <c r="A134" s="5"/>
      <c r="B134" s="5"/>
      <c r="C134" s="5"/>
      <c r="D134" s="5"/>
      <c r="E134" s="47"/>
      <c r="F134" s="5"/>
      <c r="G134" s="5"/>
      <c r="H134" s="5"/>
      <c r="I134" s="5"/>
      <c r="J134" s="5"/>
      <c r="K134" s="5"/>
      <c r="L134" s="5"/>
      <c r="M134" s="5"/>
      <c r="N134" s="5"/>
      <c r="O134" s="5"/>
      <c r="P134" s="5"/>
      <c r="Q134" s="5"/>
      <c r="R134" s="5"/>
      <c r="S134" s="5"/>
      <c r="T134" s="5"/>
      <c r="U134" s="5"/>
      <c r="V134" s="5"/>
      <c r="W134" s="5"/>
      <c r="X134" s="5"/>
      <c r="Y134" s="5"/>
      <c r="Z134" s="5"/>
    </row>
    <row r="135" spans="1:26" ht="15.75" thickBot="1" x14ac:dyDescent="0.3">
      <c r="A135" s="5"/>
      <c r="B135" s="5"/>
      <c r="C135" s="5"/>
      <c r="D135" s="5"/>
      <c r="E135" s="47"/>
      <c r="F135" s="5"/>
      <c r="G135" s="5"/>
      <c r="H135" s="5"/>
      <c r="I135" s="5"/>
      <c r="J135" s="5"/>
      <c r="K135" s="5"/>
      <c r="L135" s="5"/>
      <c r="M135" s="5"/>
      <c r="N135" s="5"/>
      <c r="O135" s="5"/>
      <c r="P135" s="5"/>
      <c r="Q135" s="5"/>
      <c r="R135" s="5"/>
      <c r="S135" s="5"/>
      <c r="T135" s="5"/>
      <c r="U135" s="5"/>
      <c r="V135" s="5"/>
      <c r="W135" s="5"/>
      <c r="X135" s="5"/>
      <c r="Y135" s="5"/>
      <c r="Z135" s="5"/>
    </row>
    <row r="136" spans="1:26" ht="15.75" thickBot="1" x14ac:dyDescent="0.3">
      <c r="A136" s="5"/>
      <c r="B136" s="5"/>
      <c r="C136" s="5"/>
      <c r="D136" s="5"/>
      <c r="E136" s="47"/>
      <c r="F136" s="5"/>
      <c r="G136" s="5"/>
      <c r="H136" s="5"/>
      <c r="I136" s="5"/>
      <c r="J136" s="5"/>
      <c r="K136" s="5"/>
      <c r="L136" s="5"/>
      <c r="M136" s="5"/>
      <c r="N136" s="5"/>
      <c r="O136" s="5"/>
      <c r="P136" s="5"/>
      <c r="Q136" s="5"/>
      <c r="R136" s="5"/>
      <c r="S136" s="5"/>
      <c r="T136" s="5"/>
      <c r="U136" s="5"/>
      <c r="V136" s="5"/>
      <c r="W136" s="5"/>
      <c r="X136" s="5"/>
      <c r="Y136" s="5"/>
      <c r="Z136" s="5"/>
    </row>
    <row r="137" spans="1:26" ht="15.75" thickBot="1" x14ac:dyDescent="0.3">
      <c r="A137" s="5"/>
      <c r="B137" s="5"/>
      <c r="C137" s="5"/>
      <c r="D137" s="5"/>
      <c r="E137" s="47"/>
      <c r="F137" s="5"/>
      <c r="G137" s="5"/>
      <c r="H137" s="5"/>
      <c r="I137" s="5"/>
      <c r="J137" s="5"/>
      <c r="K137" s="5"/>
      <c r="L137" s="5"/>
      <c r="M137" s="5"/>
      <c r="N137" s="5"/>
      <c r="O137" s="5"/>
      <c r="P137" s="5"/>
      <c r="Q137" s="5"/>
      <c r="R137" s="5"/>
      <c r="S137" s="5"/>
      <c r="T137" s="5"/>
      <c r="U137" s="5"/>
      <c r="V137" s="5"/>
      <c r="W137" s="5"/>
      <c r="X137" s="5"/>
      <c r="Y137" s="5"/>
      <c r="Z137" s="5"/>
    </row>
    <row r="138" spans="1:26" ht="15.75" thickBot="1" x14ac:dyDescent="0.3">
      <c r="A138" s="5"/>
      <c r="B138" s="5"/>
      <c r="C138" s="5"/>
      <c r="D138" s="5"/>
      <c r="E138" s="47"/>
      <c r="F138" s="5"/>
      <c r="G138" s="5"/>
      <c r="H138" s="5"/>
      <c r="I138" s="5"/>
      <c r="J138" s="5"/>
      <c r="K138" s="5"/>
      <c r="L138" s="5"/>
      <c r="M138" s="5"/>
      <c r="N138" s="5"/>
      <c r="O138" s="5"/>
      <c r="P138" s="5"/>
      <c r="Q138" s="5"/>
      <c r="R138" s="5"/>
      <c r="S138" s="5"/>
      <c r="T138" s="5"/>
      <c r="U138" s="5"/>
      <c r="V138" s="5"/>
      <c r="W138" s="5"/>
      <c r="X138" s="5"/>
      <c r="Y138" s="5"/>
      <c r="Z138" s="5"/>
    </row>
  </sheetData>
  <hyperlinks>
    <hyperlink ref="T3" r:id="rId1" xr:uid="{2FDBD734-18C7-4E56-8322-CA09F63C8A3E}"/>
    <hyperlink ref="T29" r:id="rId2" xr:uid="{27EE642B-45F2-4CA0-90A8-47977C6E080E}"/>
    <hyperlink ref="T31" r:id="rId3" location="scrollTo=q3whsWY3UH8O" display="https://colab.research.google.com/drive/1wDgM7MagyIQ8BpSwz63PnbAqGRTkKZdE - scrollTo=q3whsWY3UH8O" xr:uid="{ABD202C1-0147-466B-AD04-A3E838CD703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5F07E-F4A1-49E8-8442-591F38B0DAFC}">
  <dimension ref="A1:AO139"/>
  <sheetViews>
    <sheetView workbookViewId="0">
      <selection activeCell="H3" sqref="H3"/>
    </sheetView>
  </sheetViews>
  <sheetFormatPr defaultRowHeight="15" x14ac:dyDescent="0.25"/>
  <cols>
    <col min="3" max="3" width="38.5703125" bestFit="1" customWidth="1"/>
    <col min="4" max="4" width="10" bestFit="1" customWidth="1"/>
    <col min="5" max="5" width="0" hidden="1" customWidth="1"/>
    <col min="6" max="6" width="11.85546875" style="43" customWidth="1"/>
    <col min="7" max="7" width="12.85546875" style="43" customWidth="1"/>
    <col min="8" max="8" width="15" style="48" customWidth="1"/>
  </cols>
  <sheetData>
    <row r="1" spans="1:41" ht="15.75" thickBot="1" x14ac:dyDescent="0.3">
      <c r="A1" s="7" t="s">
        <v>0</v>
      </c>
      <c r="B1" s="1" t="s">
        <v>1</v>
      </c>
      <c r="C1" s="1" t="s">
        <v>2</v>
      </c>
      <c r="D1" s="1" t="s">
        <v>3</v>
      </c>
      <c r="E1" s="8" t="s">
        <v>374</v>
      </c>
      <c r="F1" s="8" t="s">
        <v>792</v>
      </c>
      <c r="G1" s="8" t="s">
        <v>791</v>
      </c>
      <c r="H1" s="8" t="s">
        <v>375</v>
      </c>
      <c r="I1" s="1" t="s">
        <v>376</v>
      </c>
      <c r="J1" s="8" t="s">
        <v>7</v>
      </c>
      <c r="K1" s="1" t="s">
        <v>377</v>
      </c>
      <c r="L1" s="8" t="s">
        <v>9</v>
      </c>
      <c r="M1" s="1" t="s">
        <v>378</v>
      </c>
      <c r="N1" s="8" t="s">
        <v>11</v>
      </c>
      <c r="O1" s="1" t="s">
        <v>379</v>
      </c>
      <c r="P1" s="8" t="s">
        <v>13</v>
      </c>
      <c r="Q1" s="1" t="s">
        <v>380</v>
      </c>
      <c r="R1" s="8" t="s">
        <v>15</v>
      </c>
      <c r="S1" s="1" t="s">
        <v>381</v>
      </c>
      <c r="T1" s="8" t="s">
        <v>272</v>
      </c>
      <c r="U1" s="1" t="s">
        <v>382</v>
      </c>
      <c r="V1" s="8" t="s">
        <v>274</v>
      </c>
      <c r="W1" s="1" t="s">
        <v>383</v>
      </c>
      <c r="X1" s="8" t="s">
        <v>384</v>
      </c>
      <c r="Y1" s="1" t="s">
        <v>385</v>
      </c>
      <c r="Z1" s="8" t="s">
        <v>386</v>
      </c>
      <c r="AA1" s="1" t="s">
        <v>387</v>
      </c>
      <c r="AB1" s="8" t="s">
        <v>388</v>
      </c>
      <c r="AC1" s="1" t="s">
        <v>389</v>
      </c>
      <c r="AD1" s="8" t="s">
        <v>390</v>
      </c>
      <c r="AE1" s="1" t="s">
        <v>391</v>
      </c>
      <c r="AF1" s="8" t="s">
        <v>392</v>
      </c>
      <c r="AG1" s="8" t="s">
        <v>393</v>
      </c>
      <c r="AH1" s="1" t="s">
        <v>5</v>
      </c>
      <c r="AI1" s="9" t="s">
        <v>16</v>
      </c>
      <c r="AJ1" s="10"/>
      <c r="AK1" s="10"/>
      <c r="AL1" s="10"/>
      <c r="AM1" s="10"/>
      <c r="AN1" s="10"/>
      <c r="AO1" s="10"/>
    </row>
    <row r="2" spans="1:41" ht="15.75" thickBot="1" x14ac:dyDescent="0.3">
      <c r="A2" s="49"/>
      <c r="B2" s="50" t="s">
        <v>394</v>
      </c>
      <c r="C2" s="50" t="s">
        <v>395</v>
      </c>
      <c r="D2" s="51"/>
      <c r="E2" s="52">
        <v>4</v>
      </c>
      <c r="F2" s="60">
        <v>10</v>
      </c>
      <c r="G2" s="60">
        <v>10</v>
      </c>
      <c r="H2" s="63">
        <v>10</v>
      </c>
      <c r="I2" s="50" t="s">
        <v>396</v>
      </c>
      <c r="J2" s="52">
        <v>1</v>
      </c>
      <c r="K2" s="50" t="s">
        <v>397</v>
      </c>
      <c r="L2" s="52">
        <v>1</v>
      </c>
      <c r="M2" s="50" t="s">
        <v>398</v>
      </c>
      <c r="N2" s="52">
        <v>1</v>
      </c>
      <c r="O2" s="53" t="s">
        <v>399</v>
      </c>
      <c r="P2" s="52">
        <v>1</v>
      </c>
      <c r="Q2" s="54" t="s">
        <v>400</v>
      </c>
      <c r="R2" s="52">
        <v>1</v>
      </c>
      <c r="S2" s="50" t="s">
        <v>401</v>
      </c>
      <c r="T2" s="52">
        <v>1</v>
      </c>
      <c r="U2" s="50" t="s">
        <v>402</v>
      </c>
      <c r="V2" s="52">
        <v>1</v>
      </c>
      <c r="W2" s="50" t="s">
        <v>403</v>
      </c>
      <c r="X2" s="52">
        <v>1</v>
      </c>
      <c r="Y2" s="50" t="s">
        <v>404</v>
      </c>
      <c r="Z2" s="52">
        <v>1</v>
      </c>
      <c r="AA2" s="50" t="s">
        <v>405</v>
      </c>
      <c r="AB2" s="52">
        <v>1</v>
      </c>
      <c r="AC2" s="50" t="s">
        <v>406</v>
      </c>
      <c r="AD2" s="52">
        <v>1</v>
      </c>
      <c r="AE2" s="50" t="s">
        <v>407</v>
      </c>
      <c r="AF2" s="52">
        <v>1</v>
      </c>
      <c r="AG2" s="51"/>
      <c r="AH2" s="51"/>
      <c r="AI2" s="15"/>
      <c r="AJ2" s="5"/>
      <c r="AK2" s="5"/>
      <c r="AL2" s="5"/>
      <c r="AM2" s="5"/>
      <c r="AN2" s="5"/>
      <c r="AO2" s="5"/>
    </row>
    <row r="3" spans="1:41" ht="15.75" thickBot="1" x14ac:dyDescent="0.3">
      <c r="A3" s="16">
        <v>46289.856365740743</v>
      </c>
      <c r="B3" s="17" t="s">
        <v>17</v>
      </c>
      <c r="C3" s="17" t="s">
        <v>18</v>
      </c>
      <c r="D3" s="17" t="s">
        <v>19</v>
      </c>
      <c r="E3" s="18">
        <v>3</v>
      </c>
      <c r="F3" s="61">
        <v>7.5</v>
      </c>
      <c r="G3" s="61">
        <v>4.5999999999999996</v>
      </c>
      <c r="H3" s="64">
        <v>5.5</v>
      </c>
      <c r="I3" s="17" t="s">
        <v>408</v>
      </c>
      <c r="J3" s="18">
        <v>1</v>
      </c>
      <c r="K3" s="17" t="s">
        <v>409</v>
      </c>
      <c r="L3" s="18">
        <v>1</v>
      </c>
      <c r="M3" s="17" t="s">
        <v>410</v>
      </c>
      <c r="N3" s="18">
        <v>1</v>
      </c>
      <c r="O3" s="17" t="s">
        <v>411</v>
      </c>
      <c r="P3" s="18">
        <v>0.5</v>
      </c>
      <c r="Q3" s="17" t="s">
        <v>412</v>
      </c>
      <c r="R3" s="18">
        <v>0.5</v>
      </c>
      <c r="S3" s="17" t="s">
        <v>413</v>
      </c>
      <c r="T3" s="18">
        <v>0</v>
      </c>
      <c r="U3" s="17" t="s">
        <v>414</v>
      </c>
      <c r="V3" s="18">
        <v>0</v>
      </c>
      <c r="W3" s="17" t="s">
        <v>415</v>
      </c>
      <c r="X3" s="18">
        <v>0.5</v>
      </c>
      <c r="Y3" s="17" t="s">
        <v>416</v>
      </c>
      <c r="Z3" s="18">
        <v>0</v>
      </c>
      <c r="AA3" s="17" t="s">
        <v>417</v>
      </c>
      <c r="AB3" s="18">
        <v>1</v>
      </c>
      <c r="AC3" s="17" t="s">
        <v>418</v>
      </c>
      <c r="AD3" s="18">
        <v>0</v>
      </c>
      <c r="AE3" s="17" t="s">
        <v>419</v>
      </c>
      <c r="AF3" s="18">
        <v>0</v>
      </c>
      <c r="AG3" s="55" t="s">
        <v>420</v>
      </c>
      <c r="AH3" s="3" t="s">
        <v>421</v>
      </c>
      <c r="AI3" s="21"/>
      <c r="AJ3" s="5"/>
      <c r="AK3" s="5"/>
      <c r="AL3" s="5"/>
      <c r="AM3" s="5"/>
      <c r="AN3" s="5"/>
      <c r="AO3" s="5"/>
    </row>
    <row r="4" spans="1:41" ht="15.75" thickBot="1" x14ac:dyDescent="0.3">
      <c r="A4" s="11">
        <v>46289.859247685185</v>
      </c>
      <c r="B4" s="12" t="s">
        <v>27</v>
      </c>
      <c r="C4" s="12" t="s">
        <v>28</v>
      </c>
      <c r="D4" s="12" t="s">
        <v>29</v>
      </c>
      <c r="E4" s="13">
        <v>2</v>
      </c>
      <c r="F4" s="60">
        <v>5</v>
      </c>
      <c r="G4" s="60">
        <v>6.3</v>
      </c>
      <c r="H4" s="63">
        <v>5.9</v>
      </c>
      <c r="I4" s="12" t="s">
        <v>396</v>
      </c>
      <c r="J4" s="13">
        <v>1</v>
      </c>
      <c r="K4" s="12" t="s">
        <v>422</v>
      </c>
      <c r="L4" s="13">
        <v>1</v>
      </c>
      <c r="M4" s="12" t="s">
        <v>423</v>
      </c>
      <c r="N4" s="13">
        <v>1</v>
      </c>
      <c r="O4" s="12" t="s">
        <v>424</v>
      </c>
      <c r="P4" s="13">
        <v>0</v>
      </c>
      <c r="Q4" s="12" t="s">
        <v>425</v>
      </c>
      <c r="R4" s="13">
        <v>1</v>
      </c>
      <c r="S4" s="12" t="s">
        <v>426</v>
      </c>
      <c r="T4" s="13">
        <v>0</v>
      </c>
      <c r="U4" s="12" t="s">
        <v>427</v>
      </c>
      <c r="V4" s="13">
        <v>1</v>
      </c>
      <c r="W4" s="12" t="s">
        <v>428</v>
      </c>
      <c r="X4" s="13">
        <v>0</v>
      </c>
      <c r="Y4" s="12" t="s">
        <v>429</v>
      </c>
      <c r="Z4" s="13">
        <v>1</v>
      </c>
      <c r="AA4" s="12" t="s">
        <v>430</v>
      </c>
      <c r="AB4" s="13">
        <v>1</v>
      </c>
      <c r="AC4" s="12" t="s">
        <v>431</v>
      </c>
      <c r="AD4" s="13">
        <v>0.5</v>
      </c>
      <c r="AE4" s="12" t="s">
        <v>432</v>
      </c>
      <c r="AF4" s="13">
        <v>0</v>
      </c>
      <c r="AG4" s="56" t="s">
        <v>433</v>
      </c>
      <c r="AH4" s="2" t="s">
        <v>434</v>
      </c>
      <c r="AI4" s="15"/>
      <c r="AJ4" s="5"/>
      <c r="AK4" s="5"/>
      <c r="AL4" s="5"/>
      <c r="AM4" s="5"/>
      <c r="AN4" s="5"/>
      <c r="AO4" s="5"/>
    </row>
    <row r="5" spans="1:41" ht="15.75" thickBot="1" x14ac:dyDescent="0.3">
      <c r="A5" s="16">
        <v>46289.854131944441</v>
      </c>
      <c r="B5" s="17" t="s">
        <v>35</v>
      </c>
      <c r="C5" s="17" t="s">
        <v>36</v>
      </c>
      <c r="D5" s="17" t="s">
        <v>37</v>
      </c>
      <c r="E5" s="18">
        <v>0</v>
      </c>
      <c r="F5" s="61">
        <v>0</v>
      </c>
      <c r="G5" s="61">
        <v>7.1</v>
      </c>
      <c r="H5" s="64">
        <v>5</v>
      </c>
      <c r="I5" s="17" t="s">
        <v>408</v>
      </c>
      <c r="J5" s="18">
        <v>1</v>
      </c>
      <c r="K5" s="17" t="s">
        <v>435</v>
      </c>
      <c r="L5" s="18">
        <v>1</v>
      </c>
      <c r="M5" s="17" t="s">
        <v>436</v>
      </c>
      <c r="N5" s="18">
        <v>1</v>
      </c>
      <c r="O5" s="17" t="s">
        <v>437</v>
      </c>
      <c r="P5" s="18">
        <v>0.5</v>
      </c>
      <c r="Q5" s="17" t="s">
        <v>438</v>
      </c>
      <c r="R5" s="18">
        <v>0.5</v>
      </c>
      <c r="S5" s="17" t="s">
        <v>439</v>
      </c>
      <c r="T5" s="18">
        <v>1</v>
      </c>
      <c r="U5" s="57"/>
      <c r="V5" s="18">
        <v>0</v>
      </c>
      <c r="W5" s="17" t="s">
        <v>440</v>
      </c>
      <c r="X5" s="18">
        <v>1</v>
      </c>
      <c r="Y5" s="17" t="s">
        <v>441</v>
      </c>
      <c r="Z5" s="18">
        <v>0.5</v>
      </c>
      <c r="AA5" s="17" t="s">
        <v>442</v>
      </c>
      <c r="AB5" s="18">
        <v>1</v>
      </c>
      <c r="AC5" s="17" t="s">
        <v>443</v>
      </c>
      <c r="AD5" s="18">
        <v>1</v>
      </c>
      <c r="AE5" s="57"/>
      <c r="AF5" s="18">
        <v>0</v>
      </c>
      <c r="AG5" s="55" t="s">
        <v>444</v>
      </c>
      <c r="AH5" s="3" t="s">
        <v>445</v>
      </c>
      <c r="AI5" s="21"/>
      <c r="AJ5" s="5"/>
      <c r="AK5" s="5"/>
      <c r="AL5" s="5"/>
      <c r="AM5" s="5"/>
      <c r="AN5" s="5"/>
      <c r="AO5" s="5"/>
    </row>
    <row r="6" spans="1:41" ht="15.75" thickBot="1" x14ac:dyDescent="0.3">
      <c r="A6" s="11">
        <v>46289.856840277775</v>
      </c>
      <c r="B6" s="12" t="s">
        <v>44</v>
      </c>
      <c r="C6" s="12" t="s">
        <v>45</v>
      </c>
      <c r="D6" s="12" t="s">
        <v>46</v>
      </c>
      <c r="E6" s="13">
        <v>1</v>
      </c>
      <c r="F6" s="60">
        <v>2.5</v>
      </c>
      <c r="G6" s="60">
        <v>2.1</v>
      </c>
      <c r="H6" s="63">
        <v>2.2000000000000002</v>
      </c>
      <c r="I6" s="12" t="s">
        <v>446</v>
      </c>
      <c r="J6" s="13">
        <v>0</v>
      </c>
      <c r="K6" s="12" t="s">
        <v>447</v>
      </c>
      <c r="L6" s="13">
        <v>0.5</v>
      </c>
      <c r="M6" s="12" t="s">
        <v>448</v>
      </c>
      <c r="N6" s="13">
        <v>1</v>
      </c>
      <c r="O6" s="12" t="s">
        <v>449</v>
      </c>
      <c r="P6" s="13">
        <v>0.5</v>
      </c>
      <c r="Q6" s="12" t="s">
        <v>450</v>
      </c>
      <c r="R6" s="13">
        <v>0.5</v>
      </c>
      <c r="S6" s="12" t="s">
        <v>451</v>
      </c>
      <c r="T6" s="13">
        <v>0</v>
      </c>
      <c r="U6" s="12" t="s">
        <v>452</v>
      </c>
      <c r="V6" s="13">
        <v>0</v>
      </c>
      <c r="W6" s="12" t="s">
        <v>453</v>
      </c>
      <c r="X6" s="13">
        <v>0</v>
      </c>
      <c r="Y6" s="51"/>
      <c r="Z6" s="13">
        <v>0</v>
      </c>
      <c r="AA6" s="51"/>
      <c r="AB6" s="13">
        <v>0</v>
      </c>
      <c r="AC6" s="51"/>
      <c r="AD6" s="13">
        <v>0</v>
      </c>
      <c r="AE6" s="51"/>
      <c r="AF6" s="13">
        <v>0</v>
      </c>
      <c r="AG6" s="56" t="s">
        <v>454</v>
      </c>
      <c r="AH6" s="2" t="s">
        <v>455</v>
      </c>
      <c r="AI6" s="15"/>
      <c r="AJ6" s="5"/>
      <c r="AK6" s="5"/>
      <c r="AL6" s="5"/>
      <c r="AM6" s="5"/>
      <c r="AN6" s="5"/>
      <c r="AO6" s="5"/>
    </row>
    <row r="7" spans="1:41" ht="15.75" thickBot="1" x14ac:dyDescent="0.3">
      <c r="A7" s="16">
        <v>46289.847430555557</v>
      </c>
      <c r="B7" s="17" t="s">
        <v>49</v>
      </c>
      <c r="C7" s="17" t="s">
        <v>50</v>
      </c>
      <c r="D7" s="17" t="s">
        <v>51</v>
      </c>
      <c r="E7" s="18">
        <v>3.5</v>
      </c>
      <c r="F7" s="61">
        <v>8.75</v>
      </c>
      <c r="G7" s="61">
        <v>5.4</v>
      </c>
      <c r="H7" s="64">
        <v>6.4</v>
      </c>
      <c r="I7" s="17" t="s">
        <v>456</v>
      </c>
      <c r="J7" s="18">
        <v>0.5</v>
      </c>
      <c r="K7" s="17" t="s">
        <v>457</v>
      </c>
      <c r="L7" s="18">
        <v>0.5</v>
      </c>
      <c r="M7" s="17" t="s">
        <v>458</v>
      </c>
      <c r="N7" s="18">
        <v>1</v>
      </c>
      <c r="O7" s="17" t="s">
        <v>449</v>
      </c>
      <c r="P7" s="18">
        <v>0</v>
      </c>
      <c r="Q7" s="17" t="s">
        <v>459</v>
      </c>
      <c r="R7" s="18">
        <v>0.5</v>
      </c>
      <c r="S7" s="17" t="s">
        <v>460</v>
      </c>
      <c r="T7" s="18">
        <v>0</v>
      </c>
      <c r="U7" s="17" t="s">
        <v>461</v>
      </c>
      <c r="V7" s="18">
        <v>1</v>
      </c>
      <c r="W7" s="17" t="s">
        <v>462</v>
      </c>
      <c r="X7" s="18">
        <v>0.5</v>
      </c>
      <c r="Y7" s="17" t="s">
        <v>463</v>
      </c>
      <c r="Z7" s="18">
        <v>1</v>
      </c>
      <c r="AA7" s="17" t="s">
        <v>464</v>
      </c>
      <c r="AB7" s="18">
        <v>1</v>
      </c>
      <c r="AC7" s="17" t="s">
        <v>465</v>
      </c>
      <c r="AD7" s="18">
        <v>0.5</v>
      </c>
      <c r="AE7" s="17" t="s">
        <v>466</v>
      </c>
      <c r="AF7" s="18">
        <v>0</v>
      </c>
      <c r="AG7" s="55" t="s">
        <v>467</v>
      </c>
      <c r="AH7" s="3" t="s">
        <v>468</v>
      </c>
      <c r="AI7" s="21"/>
      <c r="AJ7" s="5"/>
      <c r="AK7" s="5"/>
      <c r="AL7" s="5"/>
      <c r="AM7" s="5"/>
      <c r="AN7" s="5"/>
      <c r="AO7" s="5"/>
    </row>
    <row r="8" spans="1:41" ht="15.75" thickBot="1" x14ac:dyDescent="0.3">
      <c r="A8" s="11">
        <v>46289.852175925924</v>
      </c>
      <c r="B8" s="12" t="s">
        <v>304</v>
      </c>
      <c r="C8" s="12" t="s">
        <v>59</v>
      </c>
      <c r="D8" s="12" t="s">
        <v>60</v>
      </c>
      <c r="E8" s="13">
        <v>3</v>
      </c>
      <c r="F8" s="60">
        <v>7.5</v>
      </c>
      <c r="G8" s="60">
        <v>7.9</v>
      </c>
      <c r="H8" s="63">
        <v>7.8</v>
      </c>
      <c r="I8" s="12" t="s">
        <v>469</v>
      </c>
      <c r="J8" s="13">
        <v>0.5</v>
      </c>
      <c r="K8" s="12" t="s">
        <v>470</v>
      </c>
      <c r="L8" s="13">
        <v>0.5</v>
      </c>
      <c r="M8" s="12" t="s">
        <v>471</v>
      </c>
      <c r="N8" s="13">
        <v>1</v>
      </c>
      <c r="O8" s="12" t="s">
        <v>411</v>
      </c>
      <c r="P8" s="13">
        <v>0.5</v>
      </c>
      <c r="Q8" s="12" t="s">
        <v>472</v>
      </c>
      <c r="R8" s="13">
        <v>1</v>
      </c>
      <c r="S8" s="12" t="s">
        <v>473</v>
      </c>
      <c r="T8" s="13">
        <v>1</v>
      </c>
      <c r="U8" s="12" t="s">
        <v>474</v>
      </c>
      <c r="V8" s="13">
        <v>1</v>
      </c>
      <c r="W8" s="12" t="s">
        <v>475</v>
      </c>
      <c r="X8" s="13">
        <v>1</v>
      </c>
      <c r="Y8" s="12" t="s">
        <v>463</v>
      </c>
      <c r="Z8" s="13">
        <v>1</v>
      </c>
      <c r="AA8" s="12" t="s">
        <v>476</v>
      </c>
      <c r="AB8" s="13">
        <v>1</v>
      </c>
      <c r="AC8" s="12" t="s">
        <v>477</v>
      </c>
      <c r="AD8" s="13">
        <v>0.5</v>
      </c>
      <c r="AE8" s="12" t="s">
        <v>478</v>
      </c>
      <c r="AF8" s="13">
        <v>0.5</v>
      </c>
      <c r="AG8" s="56" t="s">
        <v>479</v>
      </c>
      <c r="AH8" s="2" t="s">
        <v>480</v>
      </c>
      <c r="AI8" s="15"/>
      <c r="AJ8" s="5"/>
      <c r="AK8" s="5"/>
      <c r="AL8" s="5"/>
      <c r="AM8" s="5"/>
      <c r="AN8" s="5"/>
      <c r="AO8" s="5"/>
    </row>
    <row r="9" spans="1:41" ht="15.75" thickBot="1" x14ac:dyDescent="0.3">
      <c r="A9" s="16">
        <v>46289.853043981479</v>
      </c>
      <c r="B9" s="17" t="s">
        <v>65</v>
      </c>
      <c r="C9" s="17" t="s">
        <v>66</v>
      </c>
      <c r="D9" s="17" t="s">
        <v>67</v>
      </c>
      <c r="E9" s="18">
        <v>2</v>
      </c>
      <c r="F9" s="61">
        <v>5</v>
      </c>
      <c r="G9" s="61">
        <v>3.8</v>
      </c>
      <c r="H9" s="64">
        <v>4.0999999999999996</v>
      </c>
      <c r="I9" s="17" t="s">
        <v>481</v>
      </c>
      <c r="J9" s="18">
        <v>0</v>
      </c>
      <c r="K9" s="20">
        <v>36126.903200000001</v>
      </c>
      <c r="L9" s="18">
        <v>0.5</v>
      </c>
      <c r="M9" s="17" t="s">
        <v>482</v>
      </c>
      <c r="N9" s="18">
        <v>1</v>
      </c>
      <c r="O9" s="17" t="s">
        <v>411</v>
      </c>
      <c r="P9" s="18">
        <v>0.5</v>
      </c>
      <c r="Q9" s="17" t="s">
        <v>483</v>
      </c>
      <c r="R9" s="18">
        <v>0.5</v>
      </c>
      <c r="S9" s="17" t="s">
        <v>484</v>
      </c>
      <c r="T9" s="18">
        <v>1</v>
      </c>
      <c r="U9" s="17" t="s">
        <v>485</v>
      </c>
      <c r="V9" s="18">
        <v>1</v>
      </c>
      <c r="W9" s="17" t="s">
        <v>486</v>
      </c>
      <c r="X9" s="18">
        <v>0</v>
      </c>
      <c r="Y9" s="17" t="s">
        <v>487</v>
      </c>
      <c r="Z9" s="18">
        <v>0</v>
      </c>
      <c r="AA9" s="17" t="s">
        <v>487</v>
      </c>
      <c r="AB9" s="18">
        <v>0</v>
      </c>
      <c r="AC9" s="17" t="s">
        <v>487</v>
      </c>
      <c r="AD9" s="18">
        <v>0</v>
      </c>
      <c r="AE9" s="17" t="s">
        <v>488</v>
      </c>
      <c r="AF9" s="18">
        <v>0</v>
      </c>
      <c r="AG9" s="55" t="s">
        <v>489</v>
      </c>
      <c r="AH9" s="3" t="s">
        <v>490</v>
      </c>
      <c r="AI9" s="23" t="s">
        <v>487</v>
      </c>
      <c r="AJ9" s="5"/>
      <c r="AK9" s="5"/>
      <c r="AL9" s="5"/>
      <c r="AM9" s="5"/>
      <c r="AN9" s="5"/>
      <c r="AO9" s="5"/>
    </row>
    <row r="10" spans="1:41" ht="15.75" thickBot="1" x14ac:dyDescent="0.3">
      <c r="A10" s="11">
        <v>46289.85359953704</v>
      </c>
      <c r="B10" s="12" t="s">
        <v>74</v>
      </c>
      <c r="C10" s="12" t="s">
        <v>75</v>
      </c>
      <c r="D10" s="12" t="s">
        <v>76</v>
      </c>
      <c r="E10" s="13">
        <v>3</v>
      </c>
      <c r="F10" s="60">
        <v>7.5</v>
      </c>
      <c r="G10" s="60">
        <v>6.3</v>
      </c>
      <c r="H10" s="63">
        <v>6.6</v>
      </c>
      <c r="I10" s="12" t="s">
        <v>491</v>
      </c>
      <c r="J10" s="13">
        <v>0</v>
      </c>
      <c r="K10" s="12" t="s">
        <v>492</v>
      </c>
      <c r="L10" s="13">
        <v>0.5</v>
      </c>
      <c r="M10" s="12" t="s">
        <v>493</v>
      </c>
      <c r="N10" s="13">
        <v>1</v>
      </c>
      <c r="O10" s="12" t="s">
        <v>494</v>
      </c>
      <c r="P10" s="13">
        <v>0.5</v>
      </c>
      <c r="Q10" s="12" t="s">
        <v>495</v>
      </c>
      <c r="R10" s="13">
        <v>1</v>
      </c>
      <c r="S10" s="12" t="s">
        <v>496</v>
      </c>
      <c r="T10" s="13">
        <v>0</v>
      </c>
      <c r="U10" s="12" t="s">
        <v>497</v>
      </c>
      <c r="V10" s="13">
        <v>1</v>
      </c>
      <c r="W10" s="12" t="s">
        <v>498</v>
      </c>
      <c r="X10" s="13">
        <v>0.5</v>
      </c>
      <c r="Y10" s="12" t="s">
        <v>499</v>
      </c>
      <c r="Z10" s="13">
        <v>1</v>
      </c>
      <c r="AA10" s="12" t="s">
        <v>464</v>
      </c>
      <c r="AB10" s="13">
        <v>1</v>
      </c>
      <c r="AC10" s="12" t="s">
        <v>500</v>
      </c>
      <c r="AD10" s="13">
        <v>0.5</v>
      </c>
      <c r="AE10" s="12" t="s">
        <v>501</v>
      </c>
      <c r="AF10" s="13">
        <v>0.5</v>
      </c>
      <c r="AG10" s="56" t="s">
        <v>502</v>
      </c>
      <c r="AH10" s="2" t="s">
        <v>503</v>
      </c>
      <c r="AI10" s="15"/>
      <c r="AJ10" s="5"/>
      <c r="AK10" s="5"/>
      <c r="AL10" s="5"/>
      <c r="AM10" s="5"/>
      <c r="AN10" s="5"/>
      <c r="AO10" s="5"/>
    </row>
    <row r="11" spans="1:41" ht="15.75" thickBot="1" x14ac:dyDescent="0.3">
      <c r="A11" s="16">
        <v>46289.845891203702</v>
      </c>
      <c r="B11" s="17" t="s">
        <v>82</v>
      </c>
      <c r="C11" s="17" t="s">
        <v>83</v>
      </c>
      <c r="D11" s="17" t="s">
        <v>84</v>
      </c>
      <c r="E11" s="18">
        <v>0</v>
      </c>
      <c r="F11" s="61">
        <v>0</v>
      </c>
      <c r="G11" s="61">
        <v>7.9</v>
      </c>
      <c r="H11" s="64">
        <v>5.5</v>
      </c>
      <c r="I11" s="17" t="s">
        <v>408</v>
      </c>
      <c r="J11" s="18">
        <v>1</v>
      </c>
      <c r="K11" s="17" t="s">
        <v>409</v>
      </c>
      <c r="L11" s="18">
        <v>1</v>
      </c>
      <c r="M11" s="17" t="s">
        <v>436</v>
      </c>
      <c r="N11" s="18">
        <v>1</v>
      </c>
      <c r="O11" s="17" t="s">
        <v>504</v>
      </c>
      <c r="P11" s="18">
        <v>0.5</v>
      </c>
      <c r="Q11" s="17" t="s">
        <v>505</v>
      </c>
      <c r="R11" s="18">
        <v>1</v>
      </c>
      <c r="S11" s="17" t="s">
        <v>506</v>
      </c>
      <c r="T11" s="18">
        <v>1</v>
      </c>
      <c r="U11" s="17" t="s">
        <v>507</v>
      </c>
      <c r="V11" s="18">
        <v>1</v>
      </c>
      <c r="W11" s="17" t="s">
        <v>508</v>
      </c>
      <c r="X11" s="18">
        <v>1</v>
      </c>
      <c r="Y11" s="17" t="s">
        <v>509</v>
      </c>
      <c r="Z11" s="18">
        <v>1</v>
      </c>
      <c r="AA11" s="17" t="s">
        <v>510</v>
      </c>
      <c r="AB11" s="18">
        <v>1</v>
      </c>
      <c r="AC11" s="17" t="s">
        <v>511</v>
      </c>
      <c r="AD11" s="18">
        <v>0</v>
      </c>
      <c r="AE11" s="17" t="s">
        <v>512</v>
      </c>
      <c r="AF11" s="18">
        <v>0</v>
      </c>
      <c r="AG11" s="55" t="s">
        <v>513</v>
      </c>
      <c r="AH11" s="3" t="s">
        <v>514</v>
      </c>
      <c r="AI11" s="21"/>
      <c r="AJ11" s="5"/>
      <c r="AK11" s="5"/>
      <c r="AL11" s="5"/>
      <c r="AM11" s="5"/>
      <c r="AN11" s="5"/>
      <c r="AO11" s="5"/>
    </row>
    <row r="12" spans="1:41" ht="15.75" thickBot="1" x14ac:dyDescent="0.3">
      <c r="A12" s="11">
        <v>46289.857152777775</v>
      </c>
      <c r="B12" s="12" t="s">
        <v>87</v>
      </c>
      <c r="C12" s="12" t="s">
        <v>88</v>
      </c>
      <c r="D12" s="12" t="s">
        <v>320</v>
      </c>
      <c r="E12" s="13">
        <v>0.5</v>
      </c>
      <c r="F12" s="60">
        <v>1.25</v>
      </c>
      <c r="G12" s="60">
        <v>1.7</v>
      </c>
      <c r="H12" s="63">
        <v>1.5</v>
      </c>
      <c r="I12" s="12" t="s">
        <v>515</v>
      </c>
      <c r="J12" s="13">
        <v>0</v>
      </c>
      <c r="K12" s="12" t="s">
        <v>516</v>
      </c>
      <c r="L12" s="13">
        <v>0.5</v>
      </c>
      <c r="M12" s="12" t="s">
        <v>517</v>
      </c>
      <c r="N12" s="13">
        <v>1</v>
      </c>
      <c r="O12" s="12" t="s">
        <v>449</v>
      </c>
      <c r="P12" s="13">
        <v>0.5</v>
      </c>
      <c r="Q12" s="12" t="s">
        <v>518</v>
      </c>
      <c r="R12" s="13">
        <v>0</v>
      </c>
      <c r="S12" s="51"/>
      <c r="T12" s="13">
        <v>0</v>
      </c>
      <c r="U12" s="51"/>
      <c r="V12" s="13">
        <v>0</v>
      </c>
      <c r="W12" s="51"/>
      <c r="X12" s="13">
        <v>0</v>
      </c>
      <c r="Y12" s="51"/>
      <c r="Z12" s="13">
        <v>0</v>
      </c>
      <c r="AA12" s="51"/>
      <c r="AB12" s="13">
        <v>0</v>
      </c>
      <c r="AC12" s="51"/>
      <c r="AD12" s="13">
        <v>0</v>
      </c>
      <c r="AE12" s="51"/>
      <c r="AF12" s="13">
        <v>0</v>
      </c>
      <c r="AG12" s="56" t="s">
        <v>519</v>
      </c>
      <c r="AH12" s="2" t="s">
        <v>520</v>
      </c>
      <c r="AI12" s="15"/>
      <c r="AJ12" s="5"/>
      <c r="AK12" s="5"/>
      <c r="AL12" s="5"/>
      <c r="AM12" s="5"/>
      <c r="AN12" s="5"/>
      <c r="AO12" s="5"/>
    </row>
    <row r="13" spans="1:41" ht="15.75" thickBot="1" x14ac:dyDescent="0.3">
      <c r="A13" s="16">
        <v>46289.850416666668</v>
      </c>
      <c r="B13" s="17" t="s">
        <v>93</v>
      </c>
      <c r="C13" s="17" t="s">
        <v>94</v>
      </c>
      <c r="D13" s="17" t="s">
        <v>95</v>
      </c>
      <c r="E13" s="18">
        <v>0</v>
      </c>
      <c r="F13" s="61">
        <v>0</v>
      </c>
      <c r="G13" s="61">
        <v>7.5</v>
      </c>
      <c r="H13" s="64">
        <v>5.3</v>
      </c>
      <c r="I13" s="17" t="s">
        <v>521</v>
      </c>
      <c r="J13" s="18">
        <v>0.5</v>
      </c>
      <c r="K13" s="17" t="s">
        <v>409</v>
      </c>
      <c r="L13" s="18">
        <v>1</v>
      </c>
      <c r="M13" s="17" t="s">
        <v>522</v>
      </c>
      <c r="N13" s="18">
        <v>1</v>
      </c>
      <c r="O13" s="17" t="s">
        <v>523</v>
      </c>
      <c r="P13" s="18">
        <v>0.5</v>
      </c>
      <c r="Q13" s="17" t="s">
        <v>524</v>
      </c>
      <c r="R13" s="18">
        <v>0.5</v>
      </c>
      <c r="S13" s="17" t="s">
        <v>506</v>
      </c>
      <c r="T13" s="18">
        <v>1</v>
      </c>
      <c r="U13" s="17" t="s">
        <v>525</v>
      </c>
      <c r="V13" s="18">
        <v>1</v>
      </c>
      <c r="W13" s="17" t="s">
        <v>526</v>
      </c>
      <c r="X13" s="18">
        <v>0.5</v>
      </c>
      <c r="Y13" s="17" t="s">
        <v>527</v>
      </c>
      <c r="Z13" s="18">
        <v>1</v>
      </c>
      <c r="AA13" s="17" t="s">
        <v>528</v>
      </c>
      <c r="AB13" s="18">
        <v>1</v>
      </c>
      <c r="AC13" s="17" t="s">
        <v>529</v>
      </c>
      <c r="AD13" s="18">
        <v>0.5</v>
      </c>
      <c r="AE13" s="17" t="s">
        <v>530</v>
      </c>
      <c r="AF13" s="18">
        <v>0.5</v>
      </c>
      <c r="AG13" s="55" t="s">
        <v>531</v>
      </c>
      <c r="AH13" s="3" t="s">
        <v>532</v>
      </c>
      <c r="AI13" s="21"/>
      <c r="AJ13" s="5"/>
      <c r="AK13" s="5"/>
      <c r="AL13" s="5"/>
      <c r="AM13" s="5"/>
      <c r="AN13" s="5"/>
      <c r="AO13" s="5"/>
    </row>
    <row r="14" spans="1:41" ht="15.75" thickBot="1" x14ac:dyDescent="0.3">
      <c r="A14" s="11">
        <v>46289.859386574077</v>
      </c>
      <c r="B14" s="12" t="s">
        <v>99</v>
      </c>
      <c r="C14" s="12" t="s">
        <v>100</v>
      </c>
      <c r="D14" s="12" t="s">
        <v>101</v>
      </c>
      <c r="E14" s="13">
        <v>2.5</v>
      </c>
      <c r="F14" s="60">
        <v>6.25</v>
      </c>
      <c r="G14" s="60">
        <v>5</v>
      </c>
      <c r="H14" s="63">
        <v>5.4</v>
      </c>
      <c r="I14" s="12" t="s">
        <v>533</v>
      </c>
      <c r="J14" s="13">
        <v>0.5</v>
      </c>
      <c r="K14" s="12" t="s">
        <v>534</v>
      </c>
      <c r="L14" s="13">
        <v>0.5</v>
      </c>
      <c r="M14" s="12" t="s">
        <v>535</v>
      </c>
      <c r="N14" s="13">
        <v>1</v>
      </c>
      <c r="O14" s="12" t="s">
        <v>411</v>
      </c>
      <c r="P14" s="13">
        <v>0.5</v>
      </c>
      <c r="Q14" s="12" t="s">
        <v>412</v>
      </c>
      <c r="R14" s="13">
        <v>0.5</v>
      </c>
      <c r="S14" s="12" t="s">
        <v>536</v>
      </c>
      <c r="T14" s="13">
        <v>1</v>
      </c>
      <c r="U14" s="12" t="s">
        <v>537</v>
      </c>
      <c r="V14" s="13">
        <v>0.5</v>
      </c>
      <c r="W14" s="12" t="s">
        <v>538</v>
      </c>
      <c r="X14" s="13">
        <v>0.5</v>
      </c>
      <c r="Y14" s="12" t="s">
        <v>539</v>
      </c>
      <c r="Z14" s="13">
        <v>0</v>
      </c>
      <c r="AA14" s="12" t="s">
        <v>540</v>
      </c>
      <c r="AB14" s="13">
        <v>1</v>
      </c>
      <c r="AC14" s="12" t="s">
        <v>541</v>
      </c>
      <c r="AD14" s="13">
        <v>0</v>
      </c>
      <c r="AE14" s="12" t="s">
        <v>542</v>
      </c>
      <c r="AF14" s="13">
        <v>0</v>
      </c>
      <c r="AG14" s="56" t="s">
        <v>543</v>
      </c>
      <c r="AH14" s="2" t="s">
        <v>544</v>
      </c>
      <c r="AI14" s="15"/>
      <c r="AJ14" s="5"/>
      <c r="AK14" s="5"/>
      <c r="AL14" s="5"/>
      <c r="AM14" s="5"/>
      <c r="AN14" s="5"/>
      <c r="AO14" s="5"/>
    </row>
    <row r="15" spans="1:41" ht="15.75" thickBot="1" x14ac:dyDescent="0.3">
      <c r="A15" s="16">
        <v>46289.849097222221</v>
      </c>
      <c r="B15" s="17" t="s">
        <v>104</v>
      </c>
      <c r="C15" s="17" t="s">
        <v>105</v>
      </c>
      <c r="D15" s="17" t="s">
        <v>106</v>
      </c>
      <c r="E15" s="18">
        <v>0</v>
      </c>
      <c r="F15" s="61">
        <v>0</v>
      </c>
      <c r="G15" s="61">
        <v>5.8</v>
      </c>
      <c r="H15" s="64">
        <v>4.0999999999999996</v>
      </c>
      <c r="I15" s="17" t="s">
        <v>545</v>
      </c>
      <c r="J15" s="18">
        <v>0</v>
      </c>
      <c r="K15" s="17" t="s">
        <v>457</v>
      </c>
      <c r="L15" s="18">
        <v>0.5</v>
      </c>
      <c r="M15" s="17" t="s">
        <v>458</v>
      </c>
      <c r="N15" s="18">
        <v>1</v>
      </c>
      <c r="O15" s="17" t="s">
        <v>411</v>
      </c>
      <c r="P15" s="18">
        <v>0.5</v>
      </c>
      <c r="Q15" s="17" t="s">
        <v>412</v>
      </c>
      <c r="R15" s="18">
        <v>0.5</v>
      </c>
      <c r="S15" s="17" t="s">
        <v>546</v>
      </c>
      <c r="T15" s="18">
        <v>0</v>
      </c>
      <c r="U15" s="17" t="s">
        <v>547</v>
      </c>
      <c r="V15" s="18">
        <v>1</v>
      </c>
      <c r="W15" s="17" t="s">
        <v>548</v>
      </c>
      <c r="X15" s="18">
        <v>0.5</v>
      </c>
      <c r="Y15" s="17" t="s">
        <v>549</v>
      </c>
      <c r="Z15" s="18">
        <v>1</v>
      </c>
      <c r="AA15" s="17" t="s">
        <v>464</v>
      </c>
      <c r="AB15" s="18">
        <v>1</v>
      </c>
      <c r="AC15" s="17" t="s">
        <v>500</v>
      </c>
      <c r="AD15" s="18">
        <v>0.5</v>
      </c>
      <c r="AE15" s="17" t="s">
        <v>550</v>
      </c>
      <c r="AF15" s="18">
        <v>0.5</v>
      </c>
      <c r="AG15" s="55" t="s">
        <v>551</v>
      </c>
      <c r="AH15" s="3" t="s">
        <v>552</v>
      </c>
      <c r="AI15" s="21"/>
      <c r="AJ15" s="5"/>
      <c r="AK15" s="5"/>
      <c r="AL15" s="5"/>
      <c r="AM15" s="5"/>
      <c r="AN15" s="5"/>
      <c r="AO15" s="5"/>
    </row>
    <row r="16" spans="1:41" ht="15.75" thickBot="1" x14ac:dyDescent="0.3">
      <c r="A16" s="11">
        <v>46289.856041666666</v>
      </c>
      <c r="B16" s="12" t="s">
        <v>325</v>
      </c>
      <c r="C16" s="12" t="s">
        <v>553</v>
      </c>
      <c r="D16" s="12" t="s">
        <v>114</v>
      </c>
      <c r="E16" s="13">
        <v>1</v>
      </c>
      <c r="F16" s="60">
        <v>2.5</v>
      </c>
      <c r="G16" s="60">
        <v>6.3</v>
      </c>
      <c r="H16" s="63">
        <v>5.0999999999999996</v>
      </c>
      <c r="I16" s="12" t="s">
        <v>554</v>
      </c>
      <c r="J16" s="13">
        <v>0.5</v>
      </c>
      <c r="K16" s="12" t="s">
        <v>555</v>
      </c>
      <c r="L16" s="13">
        <v>0.5</v>
      </c>
      <c r="M16" s="12" t="s">
        <v>556</v>
      </c>
      <c r="N16" s="13">
        <v>1</v>
      </c>
      <c r="O16" s="12" t="s">
        <v>449</v>
      </c>
      <c r="P16" s="13">
        <v>0.5</v>
      </c>
      <c r="Q16" s="12" t="s">
        <v>557</v>
      </c>
      <c r="R16" s="13">
        <v>1</v>
      </c>
      <c r="S16" s="12" t="s">
        <v>558</v>
      </c>
      <c r="T16" s="13">
        <v>0</v>
      </c>
      <c r="U16" s="12" t="s">
        <v>559</v>
      </c>
      <c r="V16" s="13">
        <v>1</v>
      </c>
      <c r="W16" s="12" t="s">
        <v>560</v>
      </c>
      <c r="X16" s="13">
        <v>1</v>
      </c>
      <c r="Y16" s="12" t="s">
        <v>561</v>
      </c>
      <c r="Z16" s="13">
        <v>1</v>
      </c>
      <c r="AA16" s="12" t="s">
        <v>464</v>
      </c>
      <c r="AB16" s="13">
        <v>1</v>
      </c>
      <c r="AC16" s="12" t="s">
        <v>562</v>
      </c>
      <c r="AD16" s="13">
        <v>0</v>
      </c>
      <c r="AE16" s="12" t="s">
        <v>563</v>
      </c>
      <c r="AF16" s="13">
        <v>0</v>
      </c>
      <c r="AG16" s="56" t="s">
        <v>564</v>
      </c>
      <c r="AH16" s="2" t="s">
        <v>565</v>
      </c>
      <c r="AI16" s="15"/>
      <c r="AJ16" s="5"/>
      <c r="AK16" s="5"/>
      <c r="AL16" s="5"/>
      <c r="AM16" s="5"/>
      <c r="AN16" s="5"/>
      <c r="AO16" s="5"/>
    </row>
    <row r="17" spans="1:41" ht="15.75" thickBot="1" x14ac:dyDescent="0.3">
      <c r="A17" s="16">
        <v>46289.853472222225</v>
      </c>
      <c r="B17" s="17" t="s">
        <v>118</v>
      </c>
      <c r="C17" s="17" t="s">
        <v>119</v>
      </c>
      <c r="D17" s="17" t="s">
        <v>120</v>
      </c>
      <c r="E17" s="18">
        <v>0</v>
      </c>
      <c r="F17" s="61">
        <v>0</v>
      </c>
      <c r="G17" s="61">
        <v>8.8000000000000007</v>
      </c>
      <c r="H17" s="64">
        <v>6.1</v>
      </c>
      <c r="I17" s="17" t="s">
        <v>408</v>
      </c>
      <c r="J17" s="18">
        <v>1</v>
      </c>
      <c r="K17" s="17" t="s">
        <v>409</v>
      </c>
      <c r="L17" s="18">
        <v>1</v>
      </c>
      <c r="M17" s="17" t="s">
        <v>436</v>
      </c>
      <c r="N17" s="18">
        <v>1</v>
      </c>
      <c r="O17" s="17" t="s">
        <v>411</v>
      </c>
      <c r="P17" s="18">
        <v>0.5</v>
      </c>
      <c r="Q17" s="17" t="s">
        <v>472</v>
      </c>
      <c r="R17" s="18">
        <v>1</v>
      </c>
      <c r="S17" s="17" t="s">
        <v>566</v>
      </c>
      <c r="T17" s="18">
        <v>1</v>
      </c>
      <c r="U17" s="17" t="s">
        <v>567</v>
      </c>
      <c r="V17" s="18">
        <v>1</v>
      </c>
      <c r="W17" s="17" t="s">
        <v>568</v>
      </c>
      <c r="X17" s="18">
        <v>1</v>
      </c>
      <c r="Y17" s="17" t="s">
        <v>569</v>
      </c>
      <c r="Z17" s="18">
        <v>1</v>
      </c>
      <c r="AA17" s="17" t="s">
        <v>570</v>
      </c>
      <c r="AB17" s="18">
        <v>1</v>
      </c>
      <c r="AC17" s="17" t="s">
        <v>571</v>
      </c>
      <c r="AD17" s="18">
        <v>0.5</v>
      </c>
      <c r="AE17" s="17" t="s">
        <v>572</v>
      </c>
      <c r="AF17" s="18">
        <v>0.5</v>
      </c>
      <c r="AG17" s="55" t="s">
        <v>573</v>
      </c>
      <c r="AH17" s="3" t="s">
        <v>574</v>
      </c>
      <c r="AI17" s="21"/>
      <c r="AJ17" s="5"/>
      <c r="AK17" s="5"/>
      <c r="AL17" s="5"/>
      <c r="AM17" s="5"/>
      <c r="AN17" s="5"/>
      <c r="AO17" s="5"/>
    </row>
    <row r="18" spans="1:41" ht="15.75" thickBot="1" x14ac:dyDescent="0.3">
      <c r="A18" s="11">
        <v>46289.849930555552</v>
      </c>
      <c r="B18" s="12" t="s">
        <v>126</v>
      </c>
      <c r="C18" s="12" t="s">
        <v>127</v>
      </c>
      <c r="D18" s="12" t="s">
        <v>128</v>
      </c>
      <c r="E18" s="13">
        <v>2</v>
      </c>
      <c r="F18" s="60">
        <v>5</v>
      </c>
      <c r="G18" s="60">
        <v>5.8</v>
      </c>
      <c r="H18" s="63">
        <v>5.6</v>
      </c>
      <c r="I18" s="12" t="s">
        <v>575</v>
      </c>
      <c r="J18" s="13">
        <v>0.5</v>
      </c>
      <c r="K18" s="12" t="s">
        <v>534</v>
      </c>
      <c r="L18" s="13">
        <v>0.5</v>
      </c>
      <c r="M18" s="12" t="s">
        <v>576</v>
      </c>
      <c r="N18" s="13">
        <v>1</v>
      </c>
      <c r="O18" s="12" t="s">
        <v>494</v>
      </c>
      <c r="P18" s="13">
        <v>0.5</v>
      </c>
      <c r="Q18" s="12" t="s">
        <v>412</v>
      </c>
      <c r="R18" s="13">
        <v>0.5</v>
      </c>
      <c r="S18" s="12" t="s">
        <v>577</v>
      </c>
      <c r="T18" s="13">
        <v>1</v>
      </c>
      <c r="U18" s="12" t="s">
        <v>578</v>
      </c>
      <c r="V18" s="13">
        <v>1</v>
      </c>
      <c r="W18" s="12" t="s">
        <v>579</v>
      </c>
      <c r="X18" s="13">
        <v>0.5</v>
      </c>
      <c r="Y18" s="12" t="s">
        <v>580</v>
      </c>
      <c r="Z18" s="13">
        <v>1</v>
      </c>
      <c r="AA18" s="12" t="s">
        <v>581</v>
      </c>
      <c r="AB18" s="13">
        <v>0</v>
      </c>
      <c r="AC18" s="12" t="s">
        <v>582</v>
      </c>
      <c r="AD18" s="13">
        <v>0.5</v>
      </c>
      <c r="AE18" s="12" t="s">
        <v>583</v>
      </c>
      <c r="AF18" s="13">
        <v>0</v>
      </c>
      <c r="AG18" s="56" t="s">
        <v>584</v>
      </c>
      <c r="AH18" s="2" t="s">
        <v>585</v>
      </c>
      <c r="AI18" s="15"/>
      <c r="AJ18" s="5"/>
      <c r="AK18" s="5"/>
      <c r="AL18" s="5"/>
      <c r="AM18" s="5"/>
      <c r="AN18" s="5"/>
      <c r="AO18" s="5"/>
    </row>
    <row r="19" spans="1:41" ht="15.75" thickBot="1" x14ac:dyDescent="0.3">
      <c r="A19" s="16">
        <v>46289.844699074078</v>
      </c>
      <c r="B19" s="17" t="s">
        <v>331</v>
      </c>
      <c r="C19" s="17" t="s">
        <v>132</v>
      </c>
      <c r="D19" s="17" t="s">
        <v>133</v>
      </c>
      <c r="E19" s="18">
        <v>0.5</v>
      </c>
      <c r="F19" s="61">
        <v>1.25</v>
      </c>
      <c r="G19" s="61">
        <v>6.3</v>
      </c>
      <c r="H19" s="64">
        <v>4.8</v>
      </c>
      <c r="I19" s="17" t="s">
        <v>586</v>
      </c>
      <c r="J19" s="18">
        <v>0.5</v>
      </c>
      <c r="K19" s="17" t="s">
        <v>587</v>
      </c>
      <c r="L19" s="18">
        <v>0.5</v>
      </c>
      <c r="M19" s="17" t="s">
        <v>588</v>
      </c>
      <c r="N19" s="18">
        <v>1</v>
      </c>
      <c r="O19" s="17" t="s">
        <v>411</v>
      </c>
      <c r="P19" s="18">
        <v>0.5</v>
      </c>
      <c r="Q19" s="17" t="s">
        <v>472</v>
      </c>
      <c r="R19" s="18">
        <v>0.5</v>
      </c>
      <c r="S19" s="17" t="s">
        <v>577</v>
      </c>
      <c r="T19" s="18">
        <v>1</v>
      </c>
      <c r="U19" s="17" t="s">
        <v>589</v>
      </c>
      <c r="V19" s="18">
        <v>1</v>
      </c>
      <c r="W19" s="17" t="s">
        <v>590</v>
      </c>
      <c r="X19" s="18">
        <v>0.5</v>
      </c>
      <c r="Y19" s="17" t="s">
        <v>591</v>
      </c>
      <c r="Z19" s="18">
        <v>1</v>
      </c>
      <c r="AA19" s="17" t="s">
        <v>592</v>
      </c>
      <c r="AB19" s="18">
        <v>1</v>
      </c>
      <c r="AC19" s="17" t="s">
        <v>593</v>
      </c>
      <c r="AD19" s="18">
        <v>0</v>
      </c>
      <c r="AE19" s="17" t="s">
        <v>594</v>
      </c>
      <c r="AF19" s="18">
        <v>0</v>
      </c>
      <c r="AG19" s="55" t="s">
        <v>595</v>
      </c>
      <c r="AH19" s="3" t="s">
        <v>596</v>
      </c>
      <c r="AI19" s="21"/>
      <c r="AJ19" s="5"/>
      <c r="AK19" s="5"/>
      <c r="AL19" s="5"/>
      <c r="AM19" s="5"/>
      <c r="AN19" s="5"/>
      <c r="AO19" s="5"/>
    </row>
    <row r="20" spans="1:41" ht="15.75" thickBot="1" x14ac:dyDescent="0.3">
      <c r="A20" s="11">
        <v>46289.852696759262</v>
      </c>
      <c r="B20" s="12" t="s">
        <v>137</v>
      </c>
      <c r="C20" s="12" t="s">
        <v>138</v>
      </c>
      <c r="D20" s="12" t="s">
        <v>139</v>
      </c>
      <c r="E20" s="13">
        <v>1</v>
      </c>
      <c r="F20" s="60">
        <v>2.5</v>
      </c>
      <c r="G20" s="60">
        <v>7.1</v>
      </c>
      <c r="H20" s="63">
        <v>5.7</v>
      </c>
      <c r="I20" s="12" t="s">
        <v>408</v>
      </c>
      <c r="J20" s="13">
        <v>1</v>
      </c>
      <c r="K20" s="12" t="s">
        <v>409</v>
      </c>
      <c r="L20" s="13">
        <v>1</v>
      </c>
      <c r="M20" s="12" t="s">
        <v>436</v>
      </c>
      <c r="N20" s="13">
        <v>1</v>
      </c>
      <c r="O20" s="12" t="s">
        <v>411</v>
      </c>
      <c r="P20" s="13">
        <v>0.5</v>
      </c>
      <c r="Q20" s="12" t="s">
        <v>412</v>
      </c>
      <c r="R20" s="13">
        <v>0.5</v>
      </c>
      <c r="S20" s="12" t="s">
        <v>597</v>
      </c>
      <c r="T20" s="13">
        <v>1</v>
      </c>
      <c r="U20" s="12" t="s">
        <v>598</v>
      </c>
      <c r="V20" s="13">
        <v>1</v>
      </c>
      <c r="W20" s="12" t="s">
        <v>599</v>
      </c>
      <c r="X20" s="13">
        <v>0.5</v>
      </c>
      <c r="Y20" s="12" t="s">
        <v>600</v>
      </c>
      <c r="Z20" s="13">
        <v>1</v>
      </c>
      <c r="AA20" s="12" t="s">
        <v>601</v>
      </c>
      <c r="AB20" s="13">
        <v>1</v>
      </c>
      <c r="AC20" s="12" t="s">
        <v>602</v>
      </c>
      <c r="AD20" s="13">
        <v>0</v>
      </c>
      <c r="AE20" s="12" t="s">
        <v>603</v>
      </c>
      <c r="AF20" s="13">
        <v>0</v>
      </c>
      <c r="AG20" s="56" t="s">
        <v>604</v>
      </c>
      <c r="AH20" s="2" t="s">
        <v>605</v>
      </c>
      <c r="AI20" s="15"/>
      <c r="AJ20" s="5"/>
      <c r="AK20" s="5"/>
      <c r="AL20" s="5"/>
      <c r="AM20" s="5"/>
      <c r="AN20" s="5"/>
      <c r="AO20" s="5"/>
    </row>
    <row r="21" spans="1:41" ht="15.75" thickBot="1" x14ac:dyDescent="0.3">
      <c r="A21" s="16">
        <v>46289.855405092596</v>
      </c>
      <c r="B21" s="17" t="s">
        <v>142</v>
      </c>
      <c r="C21" s="17" t="s">
        <v>143</v>
      </c>
      <c r="D21" s="17" t="s">
        <v>144</v>
      </c>
      <c r="E21" s="18">
        <v>2</v>
      </c>
      <c r="F21" s="61">
        <v>5</v>
      </c>
      <c r="G21" s="61">
        <v>5</v>
      </c>
      <c r="H21" s="64">
        <v>5</v>
      </c>
      <c r="I21" s="17" t="s">
        <v>606</v>
      </c>
      <c r="J21" s="18">
        <v>0</v>
      </c>
      <c r="K21" s="17" t="s">
        <v>607</v>
      </c>
      <c r="L21" s="18">
        <v>0.5</v>
      </c>
      <c r="M21" s="17" t="s">
        <v>608</v>
      </c>
      <c r="N21" s="18">
        <v>1</v>
      </c>
      <c r="O21" s="17" t="s">
        <v>411</v>
      </c>
      <c r="P21" s="18">
        <v>0.5</v>
      </c>
      <c r="Q21" s="17" t="s">
        <v>472</v>
      </c>
      <c r="R21" s="18">
        <v>1</v>
      </c>
      <c r="S21" s="17" t="s">
        <v>609</v>
      </c>
      <c r="T21" s="18">
        <v>0</v>
      </c>
      <c r="U21" s="17" t="s">
        <v>610</v>
      </c>
      <c r="V21" s="18">
        <v>1</v>
      </c>
      <c r="W21" s="17" t="s">
        <v>611</v>
      </c>
      <c r="X21" s="18">
        <v>0</v>
      </c>
      <c r="Y21" s="17" t="s">
        <v>612</v>
      </c>
      <c r="Z21" s="18">
        <v>1</v>
      </c>
      <c r="AA21" s="17" t="s">
        <v>613</v>
      </c>
      <c r="AB21" s="18">
        <v>1</v>
      </c>
      <c r="AC21" s="17" t="s">
        <v>614</v>
      </c>
      <c r="AD21" s="18">
        <v>0</v>
      </c>
      <c r="AE21" s="17" t="s">
        <v>615</v>
      </c>
      <c r="AF21" s="18">
        <v>0</v>
      </c>
      <c r="AG21" s="55" t="s">
        <v>616</v>
      </c>
      <c r="AH21" s="3" t="s">
        <v>617</v>
      </c>
      <c r="AI21" s="21"/>
      <c r="AJ21" s="5"/>
      <c r="AK21" s="5"/>
      <c r="AL21" s="5"/>
      <c r="AM21" s="5"/>
      <c r="AN21" s="5"/>
      <c r="AO21" s="5"/>
    </row>
    <row r="22" spans="1:41" ht="15.75" thickBot="1" x14ac:dyDescent="0.3">
      <c r="A22" s="11">
        <v>46289.85261574074</v>
      </c>
      <c r="B22" s="12" t="s">
        <v>147</v>
      </c>
      <c r="C22" s="12" t="s">
        <v>337</v>
      </c>
      <c r="D22" s="12" t="s">
        <v>149</v>
      </c>
      <c r="E22" s="13">
        <v>1.5</v>
      </c>
      <c r="F22" s="60">
        <v>3.75</v>
      </c>
      <c r="G22" s="60">
        <v>7.9</v>
      </c>
      <c r="H22" s="63">
        <v>6.7</v>
      </c>
      <c r="I22" s="12" t="s">
        <v>408</v>
      </c>
      <c r="J22" s="13">
        <v>1</v>
      </c>
      <c r="K22" s="12" t="s">
        <v>409</v>
      </c>
      <c r="L22" s="13">
        <v>1</v>
      </c>
      <c r="M22" s="12" t="s">
        <v>436</v>
      </c>
      <c r="N22" s="13">
        <v>1</v>
      </c>
      <c r="O22" s="12" t="s">
        <v>411</v>
      </c>
      <c r="P22" s="13">
        <v>0.5</v>
      </c>
      <c r="Q22" s="12" t="s">
        <v>412</v>
      </c>
      <c r="R22" s="13">
        <v>0.5</v>
      </c>
      <c r="S22" s="12" t="s">
        <v>506</v>
      </c>
      <c r="T22" s="13">
        <v>1</v>
      </c>
      <c r="U22" s="12" t="s">
        <v>618</v>
      </c>
      <c r="V22" s="13">
        <v>1</v>
      </c>
      <c r="W22" s="12" t="s">
        <v>619</v>
      </c>
      <c r="X22" s="13">
        <v>0.5</v>
      </c>
      <c r="Y22" s="12" t="s">
        <v>620</v>
      </c>
      <c r="Z22" s="13">
        <v>1</v>
      </c>
      <c r="AA22" s="12" t="s">
        <v>621</v>
      </c>
      <c r="AB22" s="13">
        <v>1</v>
      </c>
      <c r="AC22" s="12" t="s">
        <v>622</v>
      </c>
      <c r="AD22" s="13">
        <v>0.5</v>
      </c>
      <c r="AE22" s="12" t="s">
        <v>623</v>
      </c>
      <c r="AF22" s="13">
        <v>0.5</v>
      </c>
      <c r="AG22" s="56" t="s">
        <v>624</v>
      </c>
      <c r="AH22" s="2" t="s">
        <v>625</v>
      </c>
      <c r="AI22" s="15"/>
      <c r="AJ22" s="5"/>
      <c r="AK22" s="5"/>
      <c r="AL22" s="5"/>
      <c r="AM22" s="5"/>
      <c r="AN22" s="5"/>
      <c r="AO22" s="5"/>
    </row>
    <row r="23" spans="1:41" ht="15.75" thickBot="1" x14ac:dyDescent="0.3">
      <c r="A23" s="16">
        <v>46289.851921296293</v>
      </c>
      <c r="B23" s="17" t="s">
        <v>154</v>
      </c>
      <c r="C23" s="17" t="s">
        <v>155</v>
      </c>
      <c r="D23" s="17" t="s">
        <v>156</v>
      </c>
      <c r="E23" s="18">
        <v>0.5</v>
      </c>
      <c r="F23" s="61">
        <v>1.25</v>
      </c>
      <c r="G23" s="61">
        <v>7.1</v>
      </c>
      <c r="H23" s="64">
        <v>5.3</v>
      </c>
      <c r="I23" s="17" t="s">
        <v>408</v>
      </c>
      <c r="J23" s="18">
        <v>1</v>
      </c>
      <c r="K23" s="17" t="s">
        <v>409</v>
      </c>
      <c r="L23" s="18">
        <v>1</v>
      </c>
      <c r="M23" s="17" t="s">
        <v>626</v>
      </c>
      <c r="N23" s="18">
        <v>1</v>
      </c>
      <c r="O23" s="17" t="s">
        <v>627</v>
      </c>
      <c r="P23" s="18">
        <v>0</v>
      </c>
      <c r="Q23" s="17" t="s">
        <v>412</v>
      </c>
      <c r="R23" s="18">
        <v>0.5</v>
      </c>
      <c r="S23" s="17" t="s">
        <v>628</v>
      </c>
      <c r="T23" s="18">
        <v>0</v>
      </c>
      <c r="U23" s="17" t="s">
        <v>629</v>
      </c>
      <c r="V23" s="18">
        <v>1</v>
      </c>
      <c r="W23" s="17" t="s">
        <v>630</v>
      </c>
      <c r="X23" s="18">
        <v>1</v>
      </c>
      <c r="Y23" s="17" t="s">
        <v>631</v>
      </c>
      <c r="Z23" s="18">
        <v>1</v>
      </c>
      <c r="AA23" s="17" t="s">
        <v>632</v>
      </c>
      <c r="AB23" s="18">
        <v>1</v>
      </c>
      <c r="AC23" s="17" t="s">
        <v>633</v>
      </c>
      <c r="AD23" s="18">
        <v>0.5</v>
      </c>
      <c r="AE23" s="17" t="s">
        <v>634</v>
      </c>
      <c r="AF23" s="18">
        <v>0.5</v>
      </c>
      <c r="AG23" s="55" t="s">
        <v>635</v>
      </c>
      <c r="AH23" s="3" t="s">
        <v>636</v>
      </c>
      <c r="AI23" s="21"/>
      <c r="AJ23" s="5"/>
      <c r="AK23" s="5"/>
      <c r="AL23" s="5"/>
      <c r="AM23" s="5"/>
      <c r="AN23" s="5"/>
      <c r="AO23" s="5"/>
    </row>
    <row r="24" spans="1:41" ht="15.75" thickBot="1" x14ac:dyDescent="0.3">
      <c r="A24" s="11">
        <v>46289.856782407405</v>
      </c>
      <c r="B24" s="12" t="s">
        <v>159</v>
      </c>
      <c r="C24" s="12" t="s">
        <v>637</v>
      </c>
      <c r="D24" s="12" t="s">
        <v>161</v>
      </c>
      <c r="E24" s="13">
        <v>2</v>
      </c>
      <c r="F24" s="60">
        <v>5</v>
      </c>
      <c r="G24" s="60">
        <v>4.2</v>
      </c>
      <c r="H24" s="63">
        <v>4.4000000000000004</v>
      </c>
      <c r="I24" s="12" t="s">
        <v>638</v>
      </c>
      <c r="J24" s="13">
        <v>1</v>
      </c>
      <c r="K24" s="12" t="s">
        <v>409</v>
      </c>
      <c r="L24" s="13">
        <v>1</v>
      </c>
      <c r="M24" s="12" t="s">
        <v>626</v>
      </c>
      <c r="N24" s="13">
        <v>1</v>
      </c>
      <c r="O24" s="12" t="s">
        <v>639</v>
      </c>
      <c r="P24" s="13">
        <v>0</v>
      </c>
      <c r="Q24" s="12" t="s">
        <v>640</v>
      </c>
      <c r="R24" s="13">
        <v>0.5</v>
      </c>
      <c r="S24" s="12" t="s">
        <v>506</v>
      </c>
      <c r="T24" s="13">
        <v>1</v>
      </c>
      <c r="U24" s="12" t="s">
        <v>641</v>
      </c>
      <c r="V24" s="13">
        <v>0</v>
      </c>
      <c r="W24" s="12" t="s">
        <v>642</v>
      </c>
      <c r="X24" s="13">
        <v>0.5</v>
      </c>
      <c r="Y24" s="51"/>
      <c r="Z24" s="13">
        <v>0</v>
      </c>
      <c r="AA24" s="51"/>
      <c r="AB24" s="13">
        <v>0</v>
      </c>
      <c r="AC24" s="51"/>
      <c r="AD24" s="13">
        <v>0</v>
      </c>
      <c r="AE24" s="51"/>
      <c r="AF24" s="13">
        <v>0</v>
      </c>
      <c r="AG24" s="56" t="s">
        <v>643</v>
      </c>
      <c r="AH24" s="2" t="s">
        <v>644</v>
      </c>
      <c r="AI24" s="15"/>
      <c r="AJ24" s="5"/>
      <c r="AK24" s="5"/>
      <c r="AL24" s="5"/>
      <c r="AM24" s="5"/>
      <c r="AN24" s="5"/>
      <c r="AO24" s="5"/>
    </row>
    <row r="25" spans="1:41" ht="15.75" thickBot="1" x14ac:dyDescent="0.3">
      <c r="A25" s="16">
        <v>46289.854456018518</v>
      </c>
      <c r="B25" s="17" t="s">
        <v>166</v>
      </c>
      <c r="C25" s="17" t="s">
        <v>167</v>
      </c>
      <c r="D25" s="17" t="s">
        <v>168</v>
      </c>
      <c r="E25" s="18">
        <v>1</v>
      </c>
      <c r="F25" s="61">
        <v>2.5</v>
      </c>
      <c r="G25" s="61">
        <v>5</v>
      </c>
      <c r="H25" s="64">
        <v>4.3</v>
      </c>
      <c r="I25" s="17" t="s">
        <v>575</v>
      </c>
      <c r="J25" s="18">
        <v>0.5</v>
      </c>
      <c r="K25" s="17" t="s">
        <v>534</v>
      </c>
      <c r="L25" s="18">
        <v>0.5</v>
      </c>
      <c r="M25" s="17" t="s">
        <v>645</v>
      </c>
      <c r="N25" s="18">
        <v>1</v>
      </c>
      <c r="O25" s="17" t="s">
        <v>411</v>
      </c>
      <c r="P25" s="18">
        <v>0.5</v>
      </c>
      <c r="Q25" s="17" t="s">
        <v>450</v>
      </c>
      <c r="R25" s="18">
        <v>0.5</v>
      </c>
      <c r="S25" s="17" t="s">
        <v>646</v>
      </c>
      <c r="T25" s="18">
        <v>0</v>
      </c>
      <c r="U25" s="17" t="s">
        <v>647</v>
      </c>
      <c r="V25" s="18">
        <v>1</v>
      </c>
      <c r="W25" s="17" t="s">
        <v>648</v>
      </c>
      <c r="X25" s="18">
        <v>0.5</v>
      </c>
      <c r="Y25" s="17" t="s">
        <v>649</v>
      </c>
      <c r="Z25" s="18">
        <v>0</v>
      </c>
      <c r="AA25" s="17" t="s">
        <v>464</v>
      </c>
      <c r="AB25" s="18">
        <v>1</v>
      </c>
      <c r="AC25" s="17" t="s">
        <v>500</v>
      </c>
      <c r="AD25" s="18">
        <v>0.5</v>
      </c>
      <c r="AE25" s="17" t="s">
        <v>650</v>
      </c>
      <c r="AF25" s="18">
        <v>0</v>
      </c>
      <c r="AG25" s="55" t="s">
        <v>651</v>
      </c>
      <c r="AH25" s="3" t="s">
        <v>652</v>
      </c>
      <c r="AI25" s="21"/>
      <c r="AJ25" s="5"/>
      <c r="AK25" s="5"/>
      <c r="AL25" s="5"/>
      <c r="AM25" s="5"/>
      <c r="AN25" s="5"/>
      <c r="AO25" s="5"/>
    </row>
    <row r="26" spans="1:41" ht="15.75" thickBot="1" x14ac:dyDescent="0.3">
      <c r="A26" s="11">
        <v>46289.855706018519</v>
      </c>
      <c r="B26" s="12" t="s">
        <v>172</v>
      </c>
      <c r="C26" s="12" t="s">
        <v>173</v>
      </c>
      <c r="D26" s="12" t="s">
        <v>174</v>
      </c>
      <c r="E26" s="13">
        <v>1</v>
      </c>
      <c r="F26" s="60">
        <v>2.5</v>
      </c>
      <c r="G26" s="60">
        <v>3.3</v>
      </c>
      <c r="H26" s="63">
        <v>3.1</v>
      </c>
      <c r="I26" s="12" t="s">
        <v>653</v>
      </c>
      <c r="J26" s="13">
        <v>0</v>
      </c>
      <c r="K26" s="12" t="s">
        <v>607</v>
      </c>
      <c r="L26" s="13">
        <v>0.5</v>
      </c>
      <c r="M26" s="12" t="s">
        <v>654</v>
      </c>
      <c r="N26" s="13">
        <v>1</v>
      </c>
      <c r="O26" s="12" t="s">
        <v>411</v>
      </c>
      <c r="P26" s="13">
        <v>0.5</v>
      </c>
      <c r="Q26" s="12" t="s">
        <v>450</v>
      </c>
      <c r="R26" s="13">
        <v>0.5</v>
      </c>
      <c r="S26" s="12" t="s">
        <v>655</v>
      </c>
      <c r="T26" s="13">
        <v>0</v>
      </c>
      <c r="U26" s="12" t="s">
        <v>656</v>
      </c>
      <c r="V26" s="13">
        <v>1</v>
      </c>
      <c r="W26" s="12" t="s">
        <v>657</v>
      </c>
      <c r="X26" s="13">
        <v>0.5</v>
      </c>
      <c r="Y26" s="12" t="s">
        <v>658</v>
      </c>
      <c r="Z26" s="13">
        <v>0</v>
      </c>
      <c r="AA26" s="51"/>
      <c r="AB26" s="13">
        <v>0</v>
      </c>
      <c r="AC26" s="51"/>
      <c r="AD26" s="13">
        <v>0</v>
      </c>
      <c r="AE26" s="51"/>
      <c r="AF26" s="13">
        <v>0</v>
      </c>
      <c r="AG26" s="56" t="s">
        <v>659</v>
      </c>
      <c r="AH26" s="2" t="s">
        <v>660</v>
      </c>
      <c r="AI26" s="15"/>
      <c r="AJ26" s="5"/>
      <c r="AK26" s="5"/>
      <c r="AL26" s="5"/>
      <c r="AM26" s="5"/>
      <c r="AN26" s="5"/>
      <c r="AO26" s="5"/>
    </row>
    <row r="27" spans="1:41" ht="15.75" thickBot="1" x14ac:dyDescent="0.3">
      <c r="A27" s="16">
        <v>46289.846550925926</v>
      </c>
      <c r="B27" s="17" t="s">
        <v>181</v>
      </c>
      <c r="C27" s="17" t="s">
        <v>182</v>
      </c>
      <c r="D27" s="17" t="s">
        <v>183</v>
      </c>
      <c r="E27" s="18">
        <v>0</v>
      </c>
      <c r="F27" s="61">
        <v>0</v>
      </c>
      <c r="G27" s="61">
        <v>6.7</v>
      </c>
      <c r="H27" s="64">
        <v>4.7</v>
      </c>
      <c r="I27" s="17" t="s">
        <v>575</v>
      </c>
      <c r="J27" s="18">
        <v>0.5</v>
      </c>
      <c r="K27" s="17" t="s">
        <v>534</v>
      </c>
      <c r="L27" s="18">
        <v>0.5</v>
      </c>
      <c r="M27" s="17" t="s">
        <v>576</v>
      </c>
      <c r="N27" s="18">
        <v>1</v>
      </c>
      <c r="O27" s="17" t="s">
        <v>411</v>
      </c>
      <c r="P27" s="18">
        <v>0.5</v>
      </c>
      <c r="Q27" s="17" t="s">
        <v>412</v>
      </c>
      <c r="R27" s="18">
        <v>0.5</v>
      </c>
      <c r="S27" s="17" t="s">
        <v>661</v>
      </c>
      <c r="T27" s="18">
        <v>1</v>
      </c>
      <c r="U27" s="17" t="s">
        <v>662</v>
      </c>
      <c r="V27" s="18">
        <v>1</v>
      </c>
      <c r="W27" s="17" t="s">
        <v>663</v>
      </c>
      <c r="X27" s="18">
        <v>0.5</v>
      </c>
      <c r="Y27" s="17" t="s">
        <v>664</v>
      </c>
      <c r="Z27" s="18">
        <v>1</v>
      </c>
      <c r="AA27" s="17" t="s">
        <v>665</v>
      </c>
      <c r="AB27" s="18">
        <v>1</v>
      </c>
      <c r="AC27" s="17" t="s">
        <v>666</v>
      </c>
      <c r="AD27" s="18">
        <v>0.5</v>
      </c>
      <c r="AE27" s="17" t="s">
        <v>667</v>
      </c>
      <c r="AF27" s="18">
        <v>0</v>
      </c>
      <c r="AG27" s="55" t="s">
        <v>668</v>
      </c>
      <c r="AH27" s="3" t="s">
        <v>669</v>
      </c>
      <c r="AI27" s="21"/>
      <c r="AJ27" s="5"/>
      <c r="AK27" s="5"/>
      <c r="AL27" s="5"/>
      <c r="AM27" s="5"/>
      <c r="AN27" s="5"/>
      <c r="AO27" s="5"/>
    </row>
    <row r="28" spans="1:41" ht="15.75" thickBot="1" x14ac:dyDescent="0.3">
      <c r="A28" s="11">
        <v>46289.857430555552</v>
      </c>
      <c r="B28" s="12" t="s">
        <v>189</v>
      </c>
      <c r="C28" s="12" t="s">
        <v>190</v>
      </c>
      <c r="D28" s="12" t="s">
        <v>191</v>
      </c>
      <c r="E28" s="13">
        <v>0</v>
      </c>
      <c r="F28" s="60">
        <v>0</v>
      </c>
      <c r="G28" s="60">
        <v>5.8</v>
      </c>
      <c r="H28" s="63">
        <v>4.0999999999999996</v>
      </c>
      <c r="I28" s="12" t="s">
        <v>670</v>
      </c>
      <c r="J28" s="13">
        <v>1</v>
      </c>
      <c r="K28" s="12" t="s">
        <v>671</v>
      </c>
      <c r="L28" s="13">
        <v>1</v>
      </c>
      <c r="M28" s="12" t="s">
        <v>672</v>
      </c>
      <c r="N28" s="13">
        <v>1</v>
      </c>
      <c r="O28" s="12" t="s">
        <v>673</v>
      </c>
      <c r="P28" s="13">
        <v>0.5</v>
      </c>
      <c r="Q28" s="12" t="s">
        <v>674</v>
      </c>
      <c r="R28" s="13">
        <v>1</v>
      </c>
      <c r="S28" s="12" t="s">
        <v>675</v>
      </c>
      <c r="T28" s="13">
        <v>1</v>
      </c>
      <c r="U28" s="12" t="s">
        <v>676</v>
      </c>
      <c r="V28" s="13">
        <v>0.5</v>
      </c>
      <c r="W28" s="12" t="s">
        <v>677</v>
      </c>
      <c r="X28" s="13">
        <v>0</v>
      </c>
      <c r="Y28" s="12" t="s">
        <v>678</v>
      </c>
      <c r="Z28" s="13">
        <v>0</v>
      </c>
      <c r="AA28" s="12" t="s">
        <v>679</v>
      </c>
      <c r="AB28" s="13">
        <v>1</v>
      </c>
      <c r="AC28" s="12" t="s">
        <v>680</v>
      </c>
      <c r="AD28" s="13">
        <v>0</v>
      </c>
      <c r="AE28" s="12" t="s">
        <v>681</v>
      </c>
      <c r="AF28" s="13">
        <v>0</v>
      </c>
      <c r="AG28" s="56" t="s">
        <v>682</v>
      </c>
      <c r="AH28" s="2" t="s">
        <v>683</v>
      </c>
      <c r="AI28" s="15"/>
      <c r="AJ28" s="5"/>
      <c r="AK28" s="5"/>
      <c r="AL28" s="5"/>
      <c r="AM28" s="5"/>
      <c r="AN28" s="5"/>
      <c r="AO28" s="5"/>
    </row>
    <row r="29" spans="1:41" ht="15.75" thickBot="1" x14ac:dyDescent="0.3">
      <c r="A29" s="16">
        <v>46289.849583333336</v>
      </c>
      <c r="B29" s="17" t="s">
        <v>197</v>
      </c>
      <c r="C29" s="17" t="s">
        <v>198</v>
      </c>
      <c r="D29" s="17" t="s">
        <v>199</v>
      </c>
      <c r="E29" s="18">
        <v>1</v>
      </c>
      <c r="F29" s="61">
        <v>2.5</v>
      </c>
      <c r="G29" s="61">
        <v>6.7</v>
      </c>
      <c r="H29" s="64">
        <v>5.4</v>
      </c>
      <c r="I29" s="17" t="s">
        <v>684</v>
      </c>
      <c r="J29" s="18">
        <v>0.5</v>
      </c>
      <c r="K29" s="17" t="s">
        <v>607</v>
      </c>
      <c r="L29" s="18">
        <v>0.5</v>
      </c>
      <c r="M29" s="17" t="s">
        <v>685</v>
      </c>
      <c r="N29" s="18">
        <v>1</v>
      </c>
      <c r="O29" s="17" t="s">
        <v>411</v>
      </c>
      <c r="P29" s="18">
        <v>0.5</v>
      </c>
      <c r="Q29" s="17" t="s">
        <v>472</v>
      </c>
      <c r="R29" s="18">
        <v>0.5</v>
      </c>
      <c r="S29" s="17" t="s">
        <v>536</v>
      </c>
      <c r="T29" s="18">
        <v>1</v>
      </c>
      <c r="U29" s="17" t="s">
        <v>686</v>
      </c>
      <c r="V29" s="18">
        <v>1</v>
      </c>
      <c r="W29" s="17" t="s">
        <v>687</v>
      </c>
      <c r="X29" s="18">
        <v>0.5</v>
      </c>
      <c r="Y29" s="17" t="s">
        <v>688</v>
      </c>
      <c r="Z29" s="18">
        <v>1</v>
      </c>
      <c r="AA29" s="17" t="s">
        <v>689</v>
      </c>
      <c r="AB29" s="18">
        <v>1</v>
      </c>
      <c r="AC29" s="17" t="s">
        <v>690</v>
      </c>
      <c r="AD29" s="18">
        <v>0.5</v>
      </c>
      <c r="AE29" s="17" t="s">
        <v>691</v>
      </c>
      <c r="AF29" s="18">
        <v>0</v>
      </c>
      <c r="AG29" s="55" t="s">
        <v>692</v>
      </c>
      <c r="AH29" s="3" t="s">
        <v>693</v>
      </c>
      <c r="AI29" s="21"/>
      <c r="AJ29" s="5"/>
      <c r="AK29" s="5"/>
      <c r="AL29" s="5"/>
      <c r="AM29" s="5"/>
      <c r="AN29" s="5"/>
      <c r="AO29" s="5"/>
    </row>
    <row r="30" spans="1:41" ht="15.75" thickBot="1" x14ac:dyDescent="0.3">
      <c r="A30" s="11">
        <v>46289.851493055554</v>
      </c>
      <c r="B30" s="12" t="s">
        <v>203</v>
      </c>
      <c r="C30" s="12" t="s">
        <v>204</v>
      </c>
      <c r="D30" s="12" t="s">
        <v>205</v>
      </c>
      <c r="E30" s="13">
        <v>0</v>
      </c>
      <c r="F30" s="60">
        <v>0</v>
      </c>
      <c r="G30" s="60">
        <v>6.7</v>
      </c>
      <c r="H30" s="63">
        <v>4.7</v>
      </c>
      <c r="I30" s="12" t="s">
        <v>694</v>
      </c>
      <c r="J30" s="13">
        <v>1</v>
      </c>
      <c r="K30" s="12" t="s">
        <v>409</v>
      </c>
      <c r="L30" s="13">
        <v>1</v>
      </c>
      <c r="M30" s="12" t="s">
        <v>436</v>
      </c>
      <c r="N30" s="13">
        <v>1</v>
      </c>
      <c r="O30" s="12" t="s">
        <v>695</v>
      </c>
      <c r="P30" s="13">
        <v>0.5</v>
      </c>
      <c r="Q30" s="12" t="s">
        <v>472</v>
      </c>
      <c r="R30" s="13">
        <v>1</v>
      </c>
      <c r="S30" s="12" t="s">
        <v>506</v>
      </c>
      <c r="T30" s="13">
        <v>1</v>
      </c>
      <c r="U30" s="12" t="s">
        <v>686</v>
      </c>
      <c r="V30" s="13">
        <v>1</v>
      </c>
      <c r="W30" s="12" t="s">
        <v>696</v>
      </c>
      <c r="X30" s="13">
        <v>0</v>
      </c>
      <c r="Y30" s="12" t="s">
        <v>697</v>
      </c>
      <c r="Z30" s="13">
        <v>1</v>
      </c>
      <c r="AA30" s="12" t="s">
        <v>698</v>
      </c>
      <c r="AB30" s="13">
        <v>0</v>
      </c>
      <c r="AC30" s="12" t="s">
        <v>690</v>
      </c>
      <c r="AD30" s="13">
        <v>0.5</v>
      </c>
      <c r="AE30" s="12" t="s">
        <v>699</v>
      </c>
      <c r="AF30" s="13">
        <v>0</v>
      </c>
      <c r="AG30" s="56" t="s">
        <v>700</v>
      </c>
      <c r="AH30" s="2" t="s">
        <v>701</v>
      </c>
      <c r="AI30" s="15"/>
      <c r="AJ30" s="5"/>
      <c r="AK30" s="5"/>
      <c r="AL30" s="5"/>
      <c r="AM30" s="5"/>
      <c r="AN30" s="5"/>
      <c r="AO30" s="5"/>
    </row>
    <row r="31" spans="1:41" ht="15.75" thickBot="1" x14ac:dyDescent="0.3">
      <c r="A31" s="16">
        <v>46289.850659722222</v>
      </c>
      <c r="B31" s="17" t="s">
        <v>210</v>
      </c>
      <c r="C31" s="17" t="s">
        <v>211</v>
      </c>
      <c r="D31" s="17" t="s">
        <v>212</v>
      </c>
      <c r="E31" s="18">
        <v>2</v>
      </c>
      <c r="F31" s="61">
        <v>5</v>
      </c>
      <c r="G31" s="61">
        <v>6.7</v>
      </c>
      <c r="H31" s="64">
        <v>6.2</v>
      </c>
      <c r="I31" s="17" t="s">
        <v>545</v>
      </c>
      <c r="J31" s="18">
        <v>0</v>
      </c>
      <c r="K31" s="17" t="s">
        <v>457</v>
      </c>
      <c r="L31" s="18">
        <v>0.5</v>
      </c>
      <c r="M31" s="17" t="s">
        <v>702</v>
      </c>
      <c r="N31" s="18">
        <v>1</v>
      </c>
      <c r="O31" s="17" t="s">
        <v>411</v>
      </c>
      <c r="P31" s="18">
        <v>0.5</v>
      </c>
      <c r="Q31" s="17" t="s">
        <v>472</v>
      </c>
      <c r="R31" s="18">
        <v>0.5</v>
      </c>
      <c r="S31" s="17" t="s">
        <v>703</v>
      </c>
      <c r="T31" s="18">
        <v>1</v>
      </c>
      <c r="U31" s="17" t="s">
        <v>704</v>
      </c>
      <c r="V31" s="18">
        <v>1</v>
      </c>
      <c r="W31" s="17" t="s">
        <v>705</v>
      </c>
      <c r="X31" s="18">
        <v>0.5</v>
      </c>
      <c r="Y31" s="17" t="s">
        <v>706</v>
      </c>
      <c r="Z31" s="18">
        <v>1</v>
      </c>
      <c r="AA31" s="17" t="s">
        <v>707</v>
      </c>
      <c r="AB31" s="18">
        <v>1</v>
      </c>
      <c r="AC31" s="17" t="s">
        <v>708</v>
      </c>
      <c r="AD31" s="18">
        <v>0.5</v>
      </c>
      <c r="AE31" s="17" t="s">
        <v>709</v>
      </c>
      <c r="AF31" s="18">
        <v>0.5</v>
      </c>
      <c r="AG31" s="55" t="s">
        <v>710</v>
      </c>
      <c r="AH31" s="3" t="s">
        <v>711</v>
      </c>
      <c r="AI31" s="21"/>
      <c r="AJ31" s="5"/>
      <c r="AK31" s="5"/>
      <c r="AL31" s="5"/>
      <c r="AM31" s="5"/>
      <c r="AN31" s="5"/>
      <c r="AO31" s="5"/>
    </row>
    <row r="32" spans="1:41" ht="15.75" thickBot="1" x14ac:dyDescent="0.3">
      <c r="A32" s="11">
        <v>46289.855104166665</v>
      </c>
      <c r="B32" s="12" t="s">
        <v>712</v>
      </c>
      <c r="C32" s="12" t="s">
        <v>216</v>
      </c>
      <c r="D32" s="12" t="s">
        <v>217</v>
      </c>
      <c r="E32" s="13">
        <v>1.5</v>
      </c>
      <c r="F32" s="60">
        <v>3.75</v>
      </c>
      <c r="G32" s="60">
        <v>7.5</v>
      </c>
      <c r="H32" s="63">
        <v>6.4</v>
      </c>
      <c r="I32" s="12" t="s">
        <v>408</v>
      </c>
      <c r="J32" s="13">
        <v>1</v>
      </c>
      <c r="K32" s="12" t="s">
        <v>409</v>
      </c>
      <c r="L32" s="13">
        <v>1</v>
      </c>
      <c r="M32" s="12" t="s">
        <v>713</v>
      </c>
      <c r="N32" s="13">
        <v>1</v>
      </c>
      <c r="O32" s="12" t="s">
        <v>714</v>
      </c>
      <c r="P32" s="13">
        <v>0.5</v>
      </c>
      <c r="Q32" s="12" t="s">
        <v>412</v>
      </c>
      <c r="R32" s="13">
        <v>0.5</v>
      </c>
      <c r="S32" s="12" t="s">
        <v>506</v>
      </c>
      <c r="T32" s="13">
        <v>1</v>
      </c>
      <c r="U32" s="12" t="s">
        <v>715</v>
      </c>
      <c r="V32" s="13">
        <v>1</v>
      </c>
      <c r="W32" s="12" t="s">
        <v>716</v>
      </c>
      <c r="X32" s="13">
        <v>1</v>
      </c>
      <c r="Y32" s="12" t="s">
        <v>569</v>
      </c>
      <c r="Z32" s="13">
        <v>1</v>
      </c>
      <c r="AA32" s="12" t="s">
        <v>717</v>
      </c>
      <c r="AB32" s="13">
        <v>1</v>
      </c>
      <c r="AC32" s="12" t="s">
        <v>718</v>
      </c>
      <c r="AD32" s="13">
        <v>0</v>
      </c>
      <c r="AE32" s="12" t="s">
        <v>719</v>
      </c>
      <c r="AF32" s="13">
        <v>0</v>
      </c>
      <c r="AG32" s="56" t="s">
        <v>720</v>
      </c>
      <c r="AH32" s="2" t="s">
        <v>721</v>
      </c>
      <c r="AI32" s="15"/>
      <c r="AJ32" s="5"/>
      <c r="AK32" s="5"/>
      <c r="AL32" s="5"/>
      <c r="AM32" s="5"/>
      <c r="AN32" s="5"/>
      <c r="AO32" s="5"/>
    </row>
    <row r="33" spans="1:41" ht="15.75" thickBot="1" x14ac:dyDescent="0.3">
      <c r="A33" s="16">
        <v>46289.849733796298</v>
      </c>
      <c r="B33" s="17" t="s">
        <v>221</v>
      </c>
      <c r="C33" s="17" t="s">
        <v>222</v>
      </c>
      <c r="D33" s="17" t="s">
        <v>223</v>
      </c>
      <c r="E33" s="18">
        <v>2</v>
      </c>
      <c r="F33" s="61">
        <v>5</v>
      </c>
      <c r="G33" s="61">
        <v>4.2</v>
      </c>
      <c r="H33" s="64">
        <v>4.4000000000000004</v>
      </c>
      <c r="I33" s="17" t="s">
        <v>722</v>
      </c>
      <c r="J33" s="18">
        <v>0</v>
      </c>
      <c r="K33" s="17" t="s">
        <v>534</v>
      </c>
      <c r="L33" s="18">
        <v>0.5</v>
      </c>
      <c r="M33" s="57"/>
      <c r="N33" s="18">
        <v>0</v>
      </c>
      <c r="O33" s="17" t="s">
        <v>449</v>
      </c>
      <c r="P33" s="18">
        <v>0</v>
      </c>
      <c r="Q33" s="17" t="s">
        <v>450</v>
      </c>
      <c r="R33" s="18">
        <v>0.5</v>
      </c>
      <c r="S33" s="17" t="s">
        <v>723</v>
      </c>
      <c r="T33" s="18">
        <v>0</v>
      </c>
      <c r="U33" s="17" t="s">
        <v>559</v>
      </c>
      <c r="V33" s="18">
        <v>1</v>
      </c>
      <c r="W33" s="17" t="s">
        <v>724</v>
      </c>
      <c r="X33" s="18">
        <v>0.5</v>
      </c>
      <c r="Y33" s="17" t="s">
        <v>725</v>
      </c>
      <c r="Z33" s="18">
        <v>1</v>
      </c>
      <c r="AA33" s="17" t="s">
        <v>726</v>
      </c>
      <c r="AB33" s="18">
        <v>1</v>
      </c>
      <c r="AC33" s="17" t="s">
        <v>465</v>
      </c>
      <c r="AD33" s="18">
        <v>0.5</v>
      </c>
      <c r="AE33" s="17" t="s">
        <v>727</v>
      </c>
      <c r="AF33" s="18">
        <v>0</v>
      </c>
      <c r="AG33" s="55" t="s">
        <v>728</v>
      </c>
      <c r="AH33" s="3" t="s">
        <v>729</v>
      </c>
      <c r="AI33" s="21"/>
      <c r="AJ33" s="5"/>
      <c r="AK33" s="5"/>
      <c r="AL33" s="5"/>
      <c r="AM33" s="5"/>
      <c r="AN33" s="5"/>
      <c r="AO33" s="5"/>
    </row>
    <row r="34" spans="1:41" ht="15.75" thickBot="1" x14ac:dyDescent="0.3">
      <c r="A34" s="11">
        <v>46289.851412037038</v>
      </c>
      <c r="B34" s="12" t="s">
        <v>730</v>
      </c>
      <c r="C34" s="12" t="s">
        <v>230</v>
      </c>
      <c r="D34" s="12" t="s">
        <v>231</v>
      </c>
      <c r="E34" s="13">
        <v>0</v>
      </c>
      <c r="F34" s="60">
        <v>0</v>
      </c>
      <c r="G34" s="60">
        <v>5.4</v>
      </c>
      <c r="H34" s="63">
        <v>3.8</v>
      </c>
      <c r="I34" s="12" t="s">
        <v>545</v>
      </c>
      <c r="J34" s="13">
        <v>0</v>
      </c>
      <c r="K34" s="12" t="s">
        <v>457</v>
      </c>
      <c r="L34" s="13">
        <v>0.5</v>
      </c>
      <c r="M34" s="12" t="s">
        <v>731</v>
      </c>
      <c r="N34" s="13">
        <v>1</v>
      </c>
      <c r="O34" s="12" t="s">
        <v>732</v>
      </c>
      <c r="P34" s="13">
        <v>0</v>
      </c>
      <c r="Q34" s="12" t="s">
        <v>412</v>
      </c>
      <c r="R34" s="13">
        <v>0.5</v>
      </c>
      <c r="S34" s="12" t="s">
        <v>733</v>
      </c>
      <c r="T34" s="13">
        <v>0</v>
      </c>
      <c r="U34" s="12" t="s">
        <v>734</v>
      </c>
      <c r="V34" s="13">
        <v>1</v>
      </c>
      <c r="W34" s="12" t="s">
        <v>735</v>
      </c>
      <c r="X34" s="13">
        <v>1</v>
      </c>
      <c r="Y34" s="12" t="s">
        <v>736</v>
      </c>
      <c r="Z34" s="13">
        <v>1</v>
      </c>
      <c r="AA34" s="12" t="s">
        <v>717</v>
      </c>
      <c r="AB34" s="13">
        <v>1</v>
      </c>
      <c r="AC34" s="12" t="s">
        <v>465</v>
      </c>
      <c r="AD34" s="13">
        <v>0.5</v>
      </c>
      <c r="AE34" s="12" t="s">
        <v>737</v>
      </c>
      <c r="AF34" s="13">
        <v>0</v>
      </c>
      <c r="AG34" s="56" t="s">
        <v>738</v>
      </c>
      <c r="AH34" s="2" t="s">
        <v>739</v>
      </c>
      <c r="AI34" s="15"/>
      <c r="AJ34" s="5"/>
      <c r="AK34" s="5"/>
      <c r="AL34" s="5"/>
      <c r="AM34" s="5"/>
      <c r="AN34" s="5"/>
      <c r="AO34" s="5"/>
    </row>
    <row r="35" spans="1:41" ht="15.75" thickBot="1" x14ac:dyDescent="0.3">
      <c r="A35" s="16">
        <v>46289.853321759256</v>
      </c>
      <c r="B35" s="17" t="s">
        <v>239</v>
      </c>
      <c r="C35" s="17" t="s">
        <v>240</v>
      </c>
      <c r="D35" s="17" t="s">
        <v>241</v>
      </c>
      <c r="E35" s="18">
        <v>2</v>
      </c>
      <c r="F35" s="61">
        <v>5</v>
      </c>
      <c r="G35" s="61">
        <v>6.3</v>
      </c>
      <c r="H35" s="64">
        <v>5.9</v>
      </c>
      <c r="I35" s="17" t="s">
        <v>575</v>
      </c>
      <c r="J35" s="18">
        <v>0.5</v>
      </c>
      <c r="K35" s="17" t="s">
        <v>534</v>
      </c>
      <c r="L35" s="18">
        <v>0.5</v>
      </c>
      <c r="M35" s="17" t="s">
        <v>645</v>
      </c>
      <c r="N35" s="18">
        <v>1</v>
      </c>
      <c r="O35" s="17" t="s">
        <v>411</v>
      </c>
      <c r="P35" s="18">
        <v>0.5</v>
      </c>
      <c r="Q35" s="17" t="s">
        <v>472</v>
      </c>
      <c r="R35" s="18">
        <v>1</v>
      </c>
      <c r="S35" s="17" t="s">
        <v>740</v>
      </c>
      <c r="T35" s="18">
        <v>0</v>
      </c>
      <c r="U35" s="17" t="s">
        <v>741</v>
      </c>
      <c r="V35" s="18">
        <v>1</v>
      </c>
      <c r="W35" s="17" t="s">
        <v>742</v>
      </c>
      <c r="X35" s="18">
        <v>0.5</v>
      </c>
      <c r="Y35" s="17" t="s">
        <v>743</v>
      </c>
      <c r="Z35" s="18">
        <v>1</v>
      </c>
      <c r="AA35" s="17" t="s">
        <v>744</v>
      </c>
      <c r="AB35" s="18">
        <v>1</v>
      </c>
      <c r="AC35" s="17" t="s">
        <v>745</v>
      </c>
      <c r="AD35" s="18">
        <v>0.5</v>
      </c>
      <c r="AE35" s="17" t="s">
        <v>746</v>
      </c>
      <c r="AF35" s="18">
        <v>0</v>
      </c>
      <c r="AG35" s="55" t="s">
        <v>747</v>
      </c>
      <c r="AH35" s="3" t="s">
        <v>748</v>
      </c>
      <c r="AI35" s="21"/>
      <c r="AJ35" s="5"/>
      <c r="AK35" s="5"/>
      <c r="AL35" s="5"/>
      <c r="AM35" s="5"/>
      <c r="AN35" s="5"/>
      <c r="AO35" s="5"/>
    </row>
    <row r="36" spans="1:41" ht="15.75" thickBot="1" x14ac:dyDescent="0.3">
      <c r="A36" s="11">
        <v>46289.852789351855</v>
      </c>
      <c r="B36" s="12" t="s">
        <v>245</v>
      </c>
      <c r="C36" s="12" t="s">
        <v>246</v>
      </c>
      <c r="D36" s="12" t="s">
        <v>247</v>
      </c>
      <c r="E36" s="13">
        <v>0</v>
      </c>
      <c r="F36" s="60">
        <v>0</v>
      </c>
      <c r="G36" s="60">
        <v>7.9</v>
      </c>
      <c r="H36" s="63">
        <v>5.5</v>
      </c>
      <c r="I36" s="12" t="s">
        <v>408</v>
      </c>
      <c r="J36" s="13">
        <v>1</v>
      </c>
      <c r="K36" s="12" t="s">
        <v>409</v>
      </c>
      <c r="L36" s="13">
        <v>1</v>
      </c>
      <c r="M36" s="12" t="s">
        <v>436</v>
      </c>
      <c r="N36" s="13">
        <v>1</v>
      </c>
      <c r="O36" s="12" t="s">
        <v>411</v>
      </c>
      <c r="P36" s="13">
        <v>0.5</v>
      </c>
      <c r="Q36" s="12" t="s">
        <v>412</v>
      </c>
      <c r="R36" s="13">
        <v>0.5</v>
      </c>
      <c r="S36" s="12" t="s">
        <v>506</v>
      </c>
      <c r="T36" s="13">
        <v>1</v>
      </c>
      <c r="U36" s="12" t="s">
        <v>749</v>
      </c>
      <c r="V36" s="13">
        <v>1</v>
      </c>
      <c r="W36" s="12" t="s">
        <v>750</v>
      </c>
      <c r="X36" s="13">
        <v>0.5</v>
      </c>
      <c r="Y36" s="12" t="s">
        <v>751</v>
      </c>
      <c r="Z36" s="13">
        <v>1</v>
      </c>
      <c r="AA36" s="12" t="s">
        <v>717</v>
      </c>
      <c r="AB36" s="13">
        <v>1</v>
      </c>
      <c r="AC36" s="12" t="s">
        <v>745</v>
      </c>
      <c r="AD36" s="13">
        <v>0.5</v>
      </c>
      <c r="AE36" s="12" t="s">
        <v>752</v>
      </c>
      <c r="AF36" s="13">
        <v>0.5</v>
      </c>
      <c r="AG36" s="56" t="s">
        <v>753</v>
      </c>
      <c r="AH36" s="2" t="s">
        <v>754</v>
      </c>
      <c r="AI36" s="15"/>
      <c r="AJ36" s="5"/>
      <c r="AK36" s="5"/>
      <c r="AL36" s="5"/>
      <c r="AM36" s="5"/>
      <c r="AN36" s="5"/>
      <c r="AO36" s="5"/>
    </row>
    <row r="37" spans="1:41" ht="15.75" thickBot="1" x14ac:dyDescent="0.3">
      <c r="A37" s="16">
        <v>46289.857627314814</v>
      </c>
      <c r="B37" s="17" t="s">
        <v>371</v>
      </c>
      <c r="C37" s="17" t="s">
        <v>372</v>
      </c>
      <c r="D37" s="17" t="s">
        <v>373</v>
      </c>
      <c r="E37" s="18">
        <v>0</v>
      </c>
      <c r="F37" s="61">
        <v>0</v>
      </c>
      <c r="G37" s="61">
        <v>9.1999999999999993</v>
      </c>
      <c r="H37" s="64">
        <v>6.4</v>
      </c>
      <c r="I37" s="17" t="s">
        <v>755</v>
      </c>
      <c r="J37" s="18">
        <v>1</v>
      </c>
      <c r="K37" s="17" t="s">
        <v>756</v>
      </c>
      <c r="L37" s="18">
        <v>1</v>
      </c>
      <c r="M37" s="17" t="s">
        <v>757</v>
      </c>
      <c r="N37" s="18">
        <v>1</v>
      </c>
      <c r="O37" s="17" t="s">
        <v>758</v>
      </c>
      <c r="P37" s="18">
        <v>0.5</v>
      </c>
      <c r="Q37" s="17" t="s">
        <v>759</v>
      </c>
      <c r="R37" s="18">
        <v>1</v>
      </c>
      <c r="S37" s="17" t="s">
        <v>760</v>
      </c>
      <c r="T37" s="18">
        <v>1</v>
      </c>
      <c r="U37" s="17" t="s">
        <v>761</v>
      </c>
      <c r="V37" s="18">
        <v>1</v>
      </c>
      <c r="W37" s="17" t="s">
        <v>762</v>
      </c>
      <c r="X37" s="18">
        <v>0.5</v>
      </c>
      <c r="Y37" s="17" t="s">
        <v>763</v>
      </c>
      <c r="Z37" s="18">
        <v>1</v>
      </c>
      <c r="AA37" s="17" t="s">
        <v>764</v>
      </c>
      <c r="AB37" s="18">
        <v>1</v>
      </c>
      <c r="AC37" s="17" t="s">
        <v>765</v>
      </c>
      <c r="AD37" s="18">
        <v>1</v>
      </c>
      <c r="AE37" s="17" t="s">
        <v>766</v>
      </c>
      <c r="AF37" s="58">
        <v>1</v>
      </c>
      <c r="AG37" s="55" t="s">
        <v>767</v>
      </c>
      <c r="AH37" s="3" t="s">
        <v>768</v>
      </c>
      <c r="AI37" s="21"/>
      <c r="AJ37" s="5"/>
      <c r="AK37" s="5"/>
      <c r="AL37" s="5"/>
      <c r="AM37" s="5"/>
      <c r="AN37" s="5"/>
      <c r="AO37" s="5"/>
    </row>
    <row r="38" spans="1:41" ht="15.75" thickBot="1" x14ac:dyDescent="0.3">
      <c r="A38" s="11">
        <v>46289.850937499999</v>
      </c>
      <c r="B38" s="12" t="s">
        <v>250</v>
      </c>
      <c r="C38" s="12" t="s">
        <v>251</v>
      </c>
      <c r="D38" s="12" t="s">
        <v>252</v>
      </c>
      <c r="E38" s="13">
        <v>2.5</v>
      </c>
      <c r="F38" s="60">
        <v>6.25</v>
      </c>
      <c r="G38" s="60">
        <v>7.5</v>
      </c>
      <c r="H38" s="63">
        <v>7.1</v>
      </c>
      <c r="I38" s="12" t="s">
        <v>408</v>
      </c>
      <c r="J38" s="13">
        <v>0.5</v>
      </c>
      <c r="K38" s="12" t="s">
        <v>409</v>
      </c>
      <c r="L38" s="13">
        <v>1</v>
      </c>
      <c r="M38" s="12" t="s">
        <v>769</v>
      </c>
      <c r="N38" s="13">
        <v>1</v>
      </c>
      <c r="O38" s="12" t="s">
        <v>770</v>
      </c>
      <c r="P38" s="13">
        <v>0.5</v>
      </c>
      <c r="Q38" s="12" t="s">
        <v>412</v>
      </c>
      <c r="R38" s="13">
        <v>0.5</v>
      </c>
      <c r="S38" s="12" t="s">
        <v>506</v>
      </c>
      <c r="T38" s="13">
        <v>1</v>
      </c>
      <c r="U38" s="12" t="s">
        <v>771</v>
      </c>
      <c r="V38" s="13">
        <v>1</v>
      </c>
      <c r="W38" s="12" t="s">
        <v>772</v>
      </c>
      <c r="X38" s="13">
        <v>0</v>
      </c>
      <c r="Y38" s="12" t="s">
        <v>773</v>
      </c>
      <c r="Z38" s="13">
        <v>1</v>
      </c>
      <c r="AA38" s="12" t="s">
        <v>774</v>
      </c>
      <c r="AB38" s="13">
        <v>1</v>
      </c>
      <c r="AC38" s="12" t="s">
        <v>775</v>
      </c>
      <c r="AD38" s="13">
        <v>0.5</v>
      </c>
      <c r="AE38" s="12" t="s">
        <v>776</v>
      </c>
      <c r="AF38" s="13">
        <v>1</v>
      </c>
      <c r="AG38" s="56" t="s">
        <v>777</v>
      </c>
      <c r="AH38" s="2" t="s">
        <v>778</v>
      </c>
      <c r="AI38" s="15"/>
      <c r="AJ38" s="5"/>
      <c r="AK38" s="5"/>
      <c r="AL38" s="5"/>
      <c r="AM38" s="5"/>
      <c r="AN38" s="5"/>
      <c r="AO38" s="5"/>
    </row>
    <row r="39" spans="1:41" ht="15.75" thickBot="1" x14ac:dyDescent="0.3">
      <c r="A39" s="24">
        <v>46289.855162037034</v>
      </c>
      <c r="B39" s="25" t="s">
        <v>258</v>
      </c>
      <c r="C39" s="25" t="s">
        <v>779</v>
      </c>
      <c r="D39" s="25" t="s">
        <v>260</v>
      </c>
      <c r="E39" s="26">
        <v>0</v>
      </c>
      <c r="F39" s="62">
        <v>0</v>
      </c>
      <c r="G39" s="62">
        <v>6.7</v>
      </c>
      <c r="H39" s="65">
        <v>4.7</v>
      </c>
      <c r="I39" s="25" t="s">
        <v>780</v>
      </c>
      <c r="J39" s="26">
        <v>0.5</v>
      </c>
      <c r="K39" s="25" t="s">
        <v>781</v>
      </c>
      <c r="L39" s="26">
        <v>0.5</v>
      </c>
      <c r="M39" s="25" t="s">
        <v>782</v>
      </c>
      <c r="N39" s="26">
        <v>1</v>
      </c>
      <c r="O39" s="25" t="s">
        <v>714</v>
      </c>
      <c r="P39" s="26">
        <v>0.5</v>
      </c>
      <c r="Q39" s="25" t="s">
        <v>472</v>
      </c>
      <c r="R39" s="26">
        <v>1</v>
      </c>
      <c r="S39" s="25" t="s">
        <v>783</v>
      </c>
      <c r="T39" s="26">
        <v>1</v>
      </c>
      <c r="U39" s="25" t="s">
        <v>784</v>
      </c>
      <c r="V39" s="26">
        <v>1</v>
      </c>
      <c r="W39" s="25" t="s">
        <v>785</v>
      </c>
      <c r="X39" s="26">
        <v>0.5</v>
      </c>
      <c r="Y39" s="25" t="s">
        <v>786</v>
      </c>
      <c r="Z39" s="26">
        <v>0.5</v>
      </c>
      <c r="AA39" s="25" t="s">
        <v>787</v>
      </c>
      <c r="AB39" s="26">
        <v>1</v>
      </c>
      <c r="AC39" s="25" t="s">
        <v>465</v>
      </c>
      <c r="AD39" s="26">
        <v>0.5</v>
      </c>
      <c r="AE39" s="25" t="s">
        <v>788</v>
      </c>
      <c r="AF39" s="26">
        <v>0</v>
      </c>
      <c r="AG39" s="59" t="s">
        <v>789</v>
      </c>
      <c r="AH39" s="4" t="s">
        <v>790</v>
      </c>
      <c r="AI39" s="29"/>
      <c r="AJ39" s="5"/>
      <c r="AK39" s="5"/>
      <c r="AL39" s="5"/>
      <c r="AM39" s="5"/>
      <c r="AN39" s="5"/>
      <c r="AO39" s="5"/>
    </row>
    <row r="40" spans="1:41" ht="15.75" thickBot="1" x14ac:dyDescent="0.3">
      <c r="A40" s="5"/>
      <c r="B40" s="5"/>
      <c r="C40" s="5"/>
      <c r="D40" s="5"/>
      <c r="E40" s="5"/>
      <c r="F40" s="5"/>
      <c r="G40" s="5"/>
      <c r="H40" s="47"/>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row>
    <row r="41" spans="1:41" ht="15.75" thickBot="1" x14ac:dyDescent="0.3">
      <c r="A41" s="5"/>
      <c r="B41" s="5"/>
      <c r="C41" s="5"/>
      <c r="D41" s="5"/>
      <c r="E41" s="5"/>
      <c r="F41" s="5"/>
      <c r="G41" s="5"/>
      <c r="H41" s="47"/>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row>
    <row r="42" spans="1:41" ht="15.75" thickBot="1" x14ac:dyDescent="0.3">
      <c r="A42" s="5"/>
      <c r="B42" s="5"/>
      <c r="C42" s="5"/>
      <c r="D42" s="5"/>
      <c r="E42" s="5"/>
      <c r="F42" s="5"/>
      <c r="G42" s="5"/>
      <c r="H42" s="47"/>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row>
    <row r="43" spans="1:41" ht="15.75" thickBot="1" x14ac:dyDescent="0.3">
      <c r="A43" s="5"/>
      <c r="B43" s="5"/>
      <c r="C43" s="5"/>
      <c r="D43" s="5"/>
      <c r="E43" s="5"/>
      <c r="F43" s="5"/>
      <c r="G43" s="5"/>
      <c r="H43" s="47"/>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row>
    <row r="44" spans="1:41" ht="15.75" thickBot="1" x14ac:dyDescent="0.3">
      <c r="A44" s="5"/>
      <c r="B44" s="5"/>
      <c r="C44" s="5"/>
      <c r="D44" s="5"/>
      <c r="E44" s="5"/>
      <c r="F44" s="5"/>
      <c r="G44" s="5"/>
      <c r="H44" s="47"/>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row>
    <row r="45" spans="1:41" ht="15.75" thickBot="1" x14ac:dyDescent="0.3">
      <c r="A45" s="5"/>
      <c r="B45" s="5"/>
      <c r="C45" s="5"/>
      <c r="D45" s="5"/>
      <c r="E45" s="5"/>
      <c r="F45" s="5"/>
      <c r="G45" s="5"/>
      <c r="H45" s="47"/>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row>
    <row r="46" spans="1:41" ht="15.75" thickBot="1" x14ac:dyDescent="0.3">
      <c r="A46" s="5"/>
      <c r="B46" s="5"/>
      <c r="C46" s="5"/>
      <c r="D46" s="5"/>
      <c r="E46" s="5"/>
      <c r="F46" s="5"/>
      <c r="G46" s="5"/>
      <c r="H46" s="47"/>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row>
    <row r="47" spans="1:41" ht="15.75" thickBot="1" x14ac:dyDescent="0.3">
      <c r="A47" s="5"/>
      <c r="B47" s="5"/>
      <c r="C47" s="5"/>
      <c r="D47" s="5"/>
      <c r="E47" s="5"/>
      <c r="F47" s="5"/>
      <c r="G47" s="5"/>
      <c r="H47" s="47"/>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row>
    <row r="48" spans="1:41" ht="15.75" thickBot="1" x14ac:dyDescent="0.3">
      <c r="A48" s="5"/>
      <c r="B48" s="5"/>
      <c r="C48" s="5"/>
      <c r="D48" s="5"/>
      <c r="E48" s="5"/>
      <c r="F48" s="5"/>
      <c r="G48" s="5"/>
      <c r="H48" s="47"/>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row>
    <row r="49" spans="1:41" ht="15.75" thickBot="1" x14ac:dyDescent="0.3">
      <c r="A49" s="5"/>
      <c r="B49" s="5"/>
      <c r="C49" s="5"/>
      <c r="D49" s="5"/>
      <c r="E49" s="5"/>
      <c r="F49" s="5"/>
      <c r="G49" s="5"/>
      <c r="H49" s="47"/>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row>
    <row r="50" spans="1:41" ht="15.75" thickBot="1" x14ac:dyDescent="0.3">
      <c r="A50" s="5"/>
      <c r="B50" s="5"/>
      <c r="C50" s="5"/>
      <c r="D50" s="5"/>
      <c r="E50" s="5"/>
      <c r="F50" s="5"/>
      <c r="G50" s="5"/>
      <c r="H50" s="47"/>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row>
    <row r="51" spans="1:41" ht="15.75" thickBot="1" x14ac:dyDescent="0.3">
      <c r="A51" s="5"/>
      <c r="B51" s="5"/>
      <c r="C51" s="5"/>
      <c r="D51" s="5"/>
      <c r="E51" s="5"/>
      <c r="F51" s="5"/>
      <c r="G51" s="5"/>
      <c r="H51" s="47"/>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row>
    <row r="52" spans="1:41" ht="15.75" thickBot="1" x14ac:dyDescent="0.3">
      <c r="A52" s="5"/>
      <c r="B52" s="5"/>
      <c r="C52" s="5"/>
      <c r="D52" s="5"/>
      <c r="E52" s="5"/>
      <c r="F52" s="5"/>
      <c r="G52" s="5"/>
      <c r="H52" s="47"/>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row>
    <row r="53" spans="1:41" ht="15.75" thickBot="1" x14ac:dyDescent="0.3">
      <c r="A53" s="5"/>
      <c r="B53" s="5"/>
      <c r="C53" s="5"/>
      <c r="D53" s="5"/>
      <c r="E53" s="5"/>
      <c r="F53" s="5"/>
      <c r="G53" s="5"/>
      <c r="H53" s="47"/>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row>
    <row r="54" spans="1:41" ht="15.75" thickBot="1" x14ac:dyDescent="0.3">
      <c r="A54" s="5"/>
      <c r="B54" s="5"/>
      <c r="C54" s="5"/>
      <c r="D54" s="5"/>
      <c r="E54" s="5"/>
      <c r="F54" s="5"/>
      <c r="G54" s="5"/>
      <c r="H54" s="47"/>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row>
    <row r="55" spans="1:41" ht="15.75" thickBot="1" x14ac:dyDescent="0.3">
      <c r="A55" s="5"/>
      <c r="B55" s="5"/>
      <c r="C55" s="5"/>
      <c r="D55" s="5"/>
      <c r="E55" s="5"/>
      <c r="F55" s="5"/>
      <c r="G55" s="5"/>
      <c r="H55" s="47"/>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row>
    <row r="56" spans="1:41" ht="15.75" thickBot="1" x14ac:dyDescent="0.3">
      <c r="A56" s="5"/>
      <c r="B56" s="5"/>
      <c r="C56" s="5"/>
      <c r="D56" s="5"/>
      <c r="E56" s="5"/>
      <c r="F56" s="5"/>
      <c r="G56" s="5"/>
      <c r="H56" s="47"/>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row>
    <row r="57" spans="1:41" ht="15.75" thickBot="1" x14ac:dyDescent="0.3">
      <c r="A57" s="5"/>
      <c r="B57" s="5"/>
      <c r="C57" s="5"/>
      <c r="D57" s="5"/>
      <c r="E57" s="5"/>
      <c r="F57" s="5"/>
      <c r="G57" s="5"/>
      <c r="H57" s="47"/>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row>
    <row r="58" spans="1:41" ht="15.75" thickBot="1" x14ac:dyDescent="0.3">
      <c r="A58" s="5"/>
      <c r="B58" s="5"/>
      <c r="C58" s="5"/>
      <c r="D58" s="5"/>
      <c r="E58" s="5"/>
      <c r="F58" s="5"/>
      <c r="G58" s="5"/>
      <c r="H58" s="47"/>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row>
    <row r="59" spans="1:41" ht="15.75" thickBot="1" x14ac:dyDescent="0.3">
      <c r="A59" s="5"/>
      <c r="B59" s="5"/>
      <c r="C59" s="5"/>
      <c r="D59" s="5"/>
      <c r="E59" s="5"/>
      <c r="F59" s="5"/>
      <c r="G59" s="5"/>
      <c r="H59" s="47"/>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row>
    <row r="60" spans="1:41" ht="15.75" thickBot="1" x14ac:dyDescent="0.3">
      <c r="A60" s="5"/>
      <c r="B60" s="5"/>
      <c r="C60" s="5"/>
      <c r="D60" s="5"/>
      <c r="E60" s="5"/>
      <c r="F60" s="5"/>
      <c r="G60" s="5"/>
      <c r="H60" s="47"/>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row>
    <row r="61" spans="1:41" ht="15.75" thickBot="1" x14ac:dyDescent="0.3">
      <c r="A61" s="5"/>
      <c r="B61" s="5"/>
      <c r="C61" s="5"/>
      <c r="D61" s="5"/>
      <c r="E61" s="5"/>
      <c r="F61" s="5"/>
      <c r="G61" s="5"/>
      <c r="H61" s="47"/>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row>
    <row r="62" spans="1:41" ht="15.75" thickBot="1" x14ac:dyDescent="0.3">
      <c r="A62" s="5"/>
      <c r="B62" s="5"/>
      <c r="C62" s="5"/>
      <c r="D62" s="5"/>
      <c r="E62" s="5"/>
      <c r="F62" s="5"/>
      <c r="G62" s="5"/>
      <c r="H62" s="47"/>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row>
    <row r="63" spans="1:41" ht="15.75" thickBot="1" x14ac:dyDescent="0.3">
      <c r="A63" s="5"/>
      <c r="B63" s="5"/>
      <c r="C63" s="5"/>
      <c r="D63" s="5"/>
      <c r="E63" s="5"/>
      <c r="F63" s="5"/>
      <c r="G63" s="5"/>
      <c r="H63" s="47"/>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row>
    <row r="64" spans="1:41" ht="15.75" thickBot="1" x14ac:dyDescent="0.3">
      <c r="A64" s="5"/>
      <c r="B64" s="5"/>
      <c r="C64" s="5"/>
      <c r="D64" s="5"/>
      <c r="E64" s="5"/>
      <c r="F64" s="5"/>
      <c r="G64" s="5"/>
      <c r="H64" s="47"/>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row>
    <row r="65" spans="1:41" ht="15.75" thickBot="1" x14ac:dyDescent="0.3">
      <c r="A65" s="5"/>
      <c r="B65" s="5"/>
      <c r="C65" s="5"/>
      <c r="D65" s="5"/>
      <c r="E65" s="5"/>
      <c r="F65" s="5"/>
      <c r="G65" s="5"/>
      <c r="H65" s="47"/>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row>
    <row r="66" spans="1:41" ht="15.75" thickBot="1" x14ac:dyDescent="0.3">
      <c r="A66" s="5"/>
      <c r="B66" s="5"/>
      <c r="C66" s="5"/>
      <c r="D66" s="5"/>
      <c r="E66" s="5"/>
      <c r="F66" s="5"/>
      <c r="G66" s="5"/>
      <c r="H66" s="47"/>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row>
    <row r="67" spans="1:41" ht="15.75" thickBot="1" x14ac:dyDescent="0.3">
      <c r="A67" s="5"/>
      <c r="B67" s="5"/>
      <c r="C67" s="5"/>
      <c r="D67" s="5"/>
      <c r="E67" s="5"/>
      <c r="F67" s="5"/>
      <c r="G67" s="5"/>
      <c r="H67" s="47"/>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row>
    <row r="68" spans="1:41" ht="15.75" thickBot="1" x14ac:dyDescent="0.3">
      <c r="A68" s="5"/>
      <c r="B68" s="5"/>
      <c r="C68" s="5"/>
      <c r="D68" s="5"/>
      <c r="E68" s="5"/>
      <c r="F68" s="5"/>
      <c r="G68" s="5"/>
      <c r="H68" s="47"/>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row>
    <row r="69" spans="1:41" ht="15.75" thickBot="1" x14ac:dyDescent="0.3">
      <c r="A69" s="5"/>
      <c r="B69" s="5"/>
      <c r="C69" s="5"/>
      <c r="D69" s="5"/>
      <c r="E69" s="5"/>
      <c r="F69" s="5"/>
      <c r="G69" s="5"/>
      <c r="H69" s="47"/>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row>
    <row r="70" spans="1:41" ht="15.75" thickBot="1" x14ac:dyDescent="0.3">
      <c r="A70" s="5"/>
      <c r="B70" s="5"/>
      <c r="C70" s="5"/>
      <c r="D70" s="5"/>
      <c r="E70" s="5"/>
      <c r="F70" s="5"/>
      <c r="G70" s="5"/>
      <c r="H70" s="47"/>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row>
    <row r="71" spans="1:41" ht="15.75" thickBot="1" x14ac:dyDescent="0.3">
      <c r="A71" s="5"/>
      <c r="B71" s="5"/>
      <c r="C71" s="5"/>
      <c r="D71" s="5"/>
      <c r="E71" s="5"/>
      <c r="F71" s="5"/>
      <c r="G71" s="5"/>
      <c r="H71" s="47"/>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row>
    <row r="72" spans="1:41" ht="15.75" thickBot="1" x14ac:dyDescent="0.3">
      <c r="A72" s="5"/>
      <c r="B72" s="5"/>
      <c r="C72" s="5"/>
      <c r="D72" s="5"/>
      <c r="E72" s="5"/>
      <c r="F72" s="5"/>
      <c r="G72" s="5"/>
      <c r="H72" s="47"/>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row>
    <row r="73" spans="1:41" ht="15.75" thickBot="1" x14ac:dyDescent="0.3">
      <c r="A73" s="5"/>
      <c r="B73" s="5"/>
      <c r="C73" s="5"/>
      <c r="D73" s="5"/>
      <c r="E73" s="5"/>
      <c r="F73" s="5"/>
      <c r="G73" s="5"/>
      <c r="H73" s="47"/>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row>
    <row r="74" spans="1:41" ht="15.75" thickBot="1" x14ac:dyDescent="0.3">
      <c r="A74" s="5"/>
      <c r="B74" s="5"/>
      <c r="C74" s="5"/>
      <c r="D74" s="5"/>
      <c r="E74" s="5"/>
      <c r="F74" s="5"/>
      <c r="G74" s="5"/>
      <c r="H74" s="47"/>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row>
    <row r="75" spans="1:41" ht="15.75" thickBot="1" x14ac:dyDescent="0.3">
      <c r="A75" s="5"/>
      <c r="B75" s="5"/>
      <c r="C75" s="5"/>
      <c r="D75" s="5"/>
      <c r="E75" s="5"/>
      <c r="F75" s="5"/>
      <c r="G75" s="5"/>
      <c r="H75" s="47"/>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row>
    <row r="76" spans="1:41" ht="15.75" thickBot="1" x14ac:dyDescent="0.3">
      <c r="A76" s="5"/>
      <c r="B76" s="5"/>
      <c r="C76" s="5"/>
      <c r="D76" s="5"/>
      <c r="E76" s="5"/>
      <c r="F76" s="5"/>
      <c r="G76" s="5"/>
      <c r="H76" s="47"/>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row>
    <row r="77" spans="1:41" ht="15.75" thickBot="1" x14ac:dyDescent="0.3">
      <c r="A77" s="5"/>
      <c r="B77" s="5"/>
      <c r="C77" s="5"/>
      <c r="D77" s="5"/>
      <c r="E77" s="5"/>
      <c r="F77" s="5"/>
      <c r="G77" s="5"/>
      <c r="H77" s="47"/>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row>
    <row r="78" spans="1:41" ht="15.75" thickBot="1" x14ac:dyDescent="0.3">
      <c r="A78" s="5"/>
      <c r="B78" s="5"/>
      <c r="C78" s="5"/>
      <c r="D78" s="5"/>
      <c r="E78" s="5"/>
      <c r="F78" s="5"/>
      <c r="G78" s="5"/>
      <c r="H78" s="47"/>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row>
    <row r="79" spans="1:41" ht="15.75" thickBot="1" x14ac:dyDescent="0.3">
      <c r="A79" s="5"/>
      <c r="B79" s="5"/>
      <c r="C79" s="5"/>
      <c r="D79" s="5"/>
      <c r="E79" s="5"/>
      <c r="F79" s="5"/>
      <c r="G79" s="5"/>
      <c r="H79" s="47"/>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row>
    <row r="80" spans="1:41" ht="15.75" thickBot="1" x14ac:dyDescent="0.3">
      <c r="A80" s="5"/>
      <c r="B80" s="5"/>
      <c r="C80" s="5"/>
      <c r="D80" s="5"/>
      <c r="E80" s="5"/>
      <c r="F80" s="5"/>
      <c r="G80" s="5"/>
      <c r="H80" s="47"/>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row>
    <row r="81" spans="1:41" ht="15.75" thickBot="1" x14ac:dyDescent="0.3">
      <c r="A81" s="5"/>
      <c r="B81" s="5"/>
      <c r="C81" s="5"/>
      <c r="D81" s="5"/>
      <c r="E81" s="5"/>
      <c r="F81" s="5"/>
      <c r="G81" s="5"/>
      <c r="H81" s="47"/>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row>
    <row r="82" spans="1:41" ht="15.75" thickBot="1" x14ac:dyDescent="0.3">
      <c r="A82" s="5"/>
      <c r="B82" s="5"/>
      <c r="C82" s="5"/>
      <c r="D82" s="5"/>
      <c r="E82" s="5"/>
      <c r="F82" s="5"/>
      <c r="G82" s="5"/>
      <c r="H82" s="47"/>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row>
    <row r="83" spans="1:41" ht="15.75" thickBot="1" x14ac:dyDescent="0.3">
      <c r="A83" s="5"/>
      <c r="B83" s="5"/>
      <c r="C83" s="5"/>
      <c r="D83" s="5"/>
      <c r="E83" s="5"/>
      <c r="F83" s="5"/>
      <c r="G83" s="5"/>
      <c r="H83" s="47"/>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row>
    <row r="84" spans="1:41" ht="15.75" thickBot="1" x14ac:dyDescent="0.3">
      <c r="A84" s="5"/>
      <c r="B84" s="5"/>
      <c r="C84" s="5"/>
      <c r="D84" s="5"/>
      <c r="E84" s="5"/>
      <c r="F84" s="5"/>
      <c r="G84" s="5"/>
      <c r="H84" s="47"/>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row>
    <row r="85" spans="1:41" ht="15.75" thickBot="1" x14ac:dyDescent="0.3">
      <c r="A85" s="5"/>
      <c r="B85" s="5"/>
      <c r="C85" s="5"/>
      <c r="D85" s="5"/>
      <c r="E85" s="5"/>
      <c r="F85" s="5"/>
      <c r="G85" s="5"/>
      <c r="H85" s="47"/>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row>
    <row r="86" spans="1:41" ht="15.75" thickBot="1" x14ac:dyDescent="0.3">
      <c r="A86" s="5"/>
      <c r="B86" s="5"/>
      <c r="C86" s="5"/>
      <c r="D86" s="5"/>
      <c r="E86" s="5"/>
      <c r="F86" s="5"/>
      <c r="G86" s="5"/>
      <c r="H86" s="47"/>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row>
    <row r="87" spans="1:41" ht="15.75" thickBot="1" x14ac:dyDescent="0.3">
      <c r="A87" s="5"/>
      <c r="B87" s="5"/>
      <c r="C87" s="5"/>
      <c r="D87" s="5"/>
      <c r="E87" s="5"/>
      <c r="F87" s="5"/>
      <c r="G87" s="5"/>
      <c r="H87" s="47"/>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row>
    <row r="88" spans="1:41" ht="15.75" thickBot="1" x14ac:dyDescent="0.3">
      <c r="A88" s="5"/>
      <c r="B88" s="5"/>
      <c r="C88" s="5"/>
      <c r="D88" s="5"/>
      <c r="E88" s="5"/>
      <c r="F88" s="5"/>
      <c r="G88" s="5"/>
      <c r="H88" s="47"/>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row>
    <row r="89" spans="1:41" ht="15.75" thickBot="1" x14ac:dyDescent="0.3">
      <c r="A89" s="5"/>
      <c r="B89" s="5"/>
      <c r="C89" s="5"/>
      <c r="D89" s="5"/>
      <c r="E89" s="5"/>
      <c r="F89" s="5"/>
      <c r="G89" s="5"/>
      <c r="H89" s="47"/>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row>
    <row r="90" spans="1:41" ht="15.75" thickBot="1" x14ac:dyDescent="0.3">
      <c r="A90" s="5"/>
      <c r="B90" s="5"/>
      <c r="C90" s="5"/>
      <c r="D90" s="5"/>
      <c r="E90" s="5"/>
      <c r="F90" s="5"/>
      <c r="G90" s="5"/>
      <c r="H90" s="47"/>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row>
    <row r="91" spans="1:41" ht="15.75" thickBot="1" x14ac:dyDescent="0.3">
      <c r="A91" s="5"/>
      <c r="B91" s="5"/>
      <c r="C91" s="5"/>
      <c r="D91" s="5"/>
      <c r="E91" s="5"/>
      <c r="F91" s="5"/>
      <c r="G91" s="5"/>
      <c r="H91" s="47"/>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row>
    <row r="92" spans="1:41" ht="15.75" thickBot="1" x14ac:dyDescent="0.3">
      <c r="A92" s="5"/>
      <c r="B92" s="5"/>
      <c r="C92" s="5"/>
      <c r="D92" s="5"/>
      <c r="E92" s="5"/>
      <c r="F92" s="5"/>
      <c r="G92" s="5"/>
      <c r="H92" s="47"/>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row>
    <row r="93" spans="1:41" ht="15.75" thickBot="1" x14ac:dyDescent="0.3">
      <c r="A93" s="5"/>
      <c r="B93" s="5"/>
      <c r="C93" s="5"/>
      <c r="D93" s="5"/>
      <c r="E93" s="5"/>
      <c r="F93" s="5"/>
      <c r="G93" s="5"/>
      <c r="H93" s="47"/>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row>
    <row r="94" spans="1:41" ht="15.75" thickBot="1" x14ac:dyDescent="0.3">
      <c r="A94" s="5"/>
      <c r="B94" s="5"/>
      <c r="C94" s="5"/>
      <c r="D94" s="5"/>
      <c r="E94" s="5"/>
      <c r="F94" s="5"/>
      <c r="G94" s="5"/>
      <c r="H94" s="47"/>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row>
    <row r="95" spans="1:41" ht="15.75" thickBot="1" x14ac:dyDescent="0.3">
      <c r="A95" s="5"/>
      <c r="B95" s="5"/>
      <c r="C95" s="5"/>
      <c r="D95" s="5"/>
      <c r="E95" s="5"/>
      <c r="F95" s="5"/>
      <c r="G95" s="5"/>
      <c r="H95" s="47"/>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row>
    <row r="96" spans="1:41" ht="15.75" thickBot="1" x14ac:dyDescent="0.3">
      <c r="A96" s="5"/>
      <c r="B96" s="5"/>
      <c r="C96" s="5"/>
      <c r="D96" s="5"/>
      <c r="E96" s="5"/>
      <c r="F96" s="5"/>
      <c r="G96" s="5"/>
      <c r="H96" s="47"/>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row>
    <row r="97" spans="1:41" ht="15.75" thickBot="1" x14ac:dyDescent="0.3">
      <c r="A97" s="5"/>
      <c r="B97" s="5"/>
      <c r="C97" s="5"/>
      <c r="D97" s="5"/>
      <c r="E97" s="5"/>
      <c r="F97" s="5"/>
      <c r="G97" s="5"/>
      <c r="H97" s="47"/>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row>
    <row r="98" spans="1:41" ht="15.75" thickBot="1" x14ac:dyDescent="0.3">
      <c r="A98" s="5"/>
      <c r="B98" s="5"/>
      <c r="C98" s="5"/>
      <c r="D98" s="5"/>
      <c r="E98" s="5"/>
      <c r="F98" s="5"/>
      <c r="G98" s="5"/>
      <c r="H98" s="47"/>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row>
    <row r="99" spans="1:41" ht="15.75" thickBot="1" x14ac:dyDescent="0.3">
      <c r="A99" s="5"/>
      <c r="B99" s="5"/>
      <c r="C99" s="5"/>
      <c r="D99" s="5"/>
      <c r="E99" s="5"/>
      <c r="F99" s="5"/>
      <c r="G99" s="5"/>
      <c r="H99" s="47"/>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row>
    <row r="100" spans="1:41" ht="15.75" thickBot="1" x14ac:dyDescent="0.3">
      <c r="A100" s="5"/>
      <c r="B100" s="5"/>
      <c r="C100" s="5"/>
      <c r="D100" s="5"/>
      <c r="E100" s="5"/>
      <c r="F100" s="5"/>
      <c r="G100" s="5"/>
      <c r="H100" s="47"/>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row>
    <row r="101" spans="1:41" ht="15.75" thickBot="1" x14ac:dyDescent="0.3">
      <c r="A101" s="5"/>
      <c r="B101" s="5"/>
      <c r="C101" s="5"/>
      <c r="D101" s="5"/>
      <c r="E101" s="5"/>
      <c r="F101" s="5"/>
      <c r="G101" s="5"/>
      <c r="H101" s="47"/>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row>
    <row r="102" spans="1:41" ht="15.75" thickBot="1" x14ac:dyDescent="0.3">
      <c r="A102" s="5"/>
      <c r="B102" s="5"/>
      <c r="C102" s="5"/>
      <c r="D102" s="5"/>
      <c r="E102" s="5"/>
      <c r="F102" s="5"/>
      <c r="G102" s="5"/>
      <c r="H102" s="47"/>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row>
    <row r="103" spans="1:41" ht="15.75" thickBot="1" x14ac:dyDescent="0.3">
      <c r="A103" s="5"/>
      <c r="B103" s="5"/>
      <c r="C103" s="5"/>
      <c r="D103" s="5"/>
      <c r="E103" s="5"/>
      <c r="F103" s="5"/>
      <c r="G103" s="5"/>
      <c r="H103" s="47"/>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row>
    <row r="104" spans="1:41" ht="15.75" thickBot="1" x14ac:dyDescent="0.3">
      <c r="A104" s="5"/>
      <c r="B104" s="5"/>
      <c r="C104" s="5"/>
      <c r="D104" s="5"/>
      <c r="E104" s="5"/>
      <c r="F104" s="5"/>
      <c r="G104" s="5"/>
      <c r="H104" s="47"/>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row>
    <row r="105" spans="1:41" ht="15.75" thickBot="1" x14ac:dyDescent="0.3">
      <c r="A105" s="5"/>
      <c r="B105" s="5"/>
      <c r="C105" s="5"/>
      <c r="D105" s="5"/>
      <c r="E105" s="5"/>
      <c r="F105" s="5"/>
      <c r="G105" s="5"/>
      <c r="H105" s="47"/>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row>
    <row r="106" spans="1:41" ht="15.75" thickBot="1" x14ac:dyDescent="0.3">
      <c r="A106" s="5"/>
      <c r="B106" s="5"/>
      <c r="C106" s="5"/>
      <c r="D106" s="5"/>
      <c r="E106" s="5"/>
      <c r="F106" s="5"/>
      <c r="G106" s="5"/>
      <c r="H106" s="47"/>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row>
    <row r="107" spans="1:41" ht="15.75" thickBot="1" x14ac:dyDescent="0.3">
      <c r="A107" s="5"/>
      <c r="B107" s="5"/>
      <c r="C107" s="5"/>
      <c r="D107" s="5"/>
      <c r="E107" s="5"/>
      <c r="F107" s="5"/>
      <c r="G107" s="5"/>
      <c r="H107" s="47"/>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row>
    <row r="108" spans="1:41" ht="15.75" thickBot="1" x14ac:dyDescent="0.3">
      <c r="A108" s="5"/>
      <c r="B108" s="5"/>
      <c r="C108" s="5"/>
      <c r="D108" s="5"/>
      <c r="E108" s="5"/>
      <c r="F108" s="5"/>
      <c r="G108" s="5"/>
      <c r="H108" s="47"/>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row>
    <row r="109" spans="1:41" ht="15.75" thickBot="1" x14ac:dyDescent="0.3">
      <c r="A109" s="5"/>
      <c r="B109" s="5"/>
      <c r="C109" s="5"/>
      <c r="D109" s="5"/>
      <c r="E109" s="5"/>
      <c r="F109" s="5"/>
      <c r="G109" s="5"/>
      <c r="H109" s="47"/>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row>
    <row r="110" spans="1:41" ht="15.75" thickBot="1" x14ac:dyDescent="0.3">
      <c r="A110" s="5"/>
      <c r="B110" s="5"/>
      <c r="C110" s="5"/>
      <c r="D110" s="5"/>
      <c r="E110" s="5"/>
      <c r="F110" s="5"/>
      <c r="G110" s="5"/>
      <c r="H110" s="47"/>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row>
    <row r="111" spans="1:41" ht="15.75" thickBot="1" x14ac:dyDescent="0.3">
      <c r="A111" s="5"/>
      <c r="B111" s="5"/>
      <c r="C111" s="5"/>
      <c r="D111" s="5"/>
      <c r="E111" s="5"/>
      <c r="F111" s="5"/>
      <c r="G111" s="5"/>
      <c r="H111" s="47"/>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row>
    <row r="112" spans="1:41" ht="15.75" thickBot="1" x14ac:dyDescent="0.3">
      <c r="A112" s="5"/>
      <c r="B112" s="5"/>
      <c r="C112" s="5"/>
      <c r="D112" s="5"/>
      <c r="E112" s="5"/>
      <c r="F112" s="5"/>
      <c r="G112" s="5"/>
      <c r="H112" s="47"/>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row>
    <row r="113" spans="1:41" ht="15.75" thickBot="1" x14ac:dyDescent="0.3">
      <c r="A113" s="5"/>
      <c r="B113" s="5"/>
      <c r="C113" s="5"/>
      <c r="D113" s="5"/>
      <c r="E113" s="5"/>
      <c r="F113" s="5"/>
      <c r="G113" s="5"/>
      <c r="H113" s="47"/>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row>
    <row r="114" spans="1:41" ht="15.75" thickBot="1" x14ac:dyDescent="0.3">
      <c r="A114" s="5"/>
      <c r="B114" s="5"/>
      <c r="C114" s="5"/>
      <c r="D114" s="5"/>
      <c r="E114" s="5"/>
      <c r="F114" s="5"/>
      <c r="G114" s="5"/>
      <c r="H114" s="47"/>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row>
    <row r="115" spans="1:41" ht="15.75" thickBot="1" x14ac:dyDescent="0.3">
      <c r="A115" s="5"/>
      <c r="B115" s="5"/>
      <c r="C115" s="5"/>
      <c r="D115" s="5"/>
      <c r="E115" s="5"/>
      <c r="F115" s="5"/>
      <c r="G115" s="5"/>
      <c r="H115" s="47"/>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row>
    <row r="116" spans="1:41" ht="15.75" thickBot="1" x14ac:dyDescent="0.3">
      <c r="A116" s="5"/>
      <c r="B116" s="5"/>
      <c r="C116" s="5"/>
      <c r="D116" s="5"/>
      <c r="E116" s="5"/>
      <c r="F116" s="5"/>
      <c r="G116" s="5"/>
      <c r="H116" s="47"/>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row>
    <row r="117" spans="1:41" ht="15.75" thickBot="1" x14ac:dyDescent="0.3">
      <c r="A117" s="5"/>
      <c r="B117" s="5"/>
      <c r="C117" s="5"/>
      <c r="D117" s="5"/>
      <c r="E117" s="5"/>
      <c r="F117" s="5"/>
      <c r="G117" s="5"/>
      <c r="H117" s="47"/>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row>
    <row r="118" spans="1:41" ht="15.75" thickBot="1" x14ac:dyDescent="0.3">
      <c r="A118" s="5"/>
      <c r="B118" s="5"/>
      <c r="C118" s="5"/>
      <c r="D118" s="5"/>
      <c r="E118" s="5"/>
      <c r="F118" s="5"/>
      <c r="G118" s="5"/>
      <c r="H118" s="47"/>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row>
    <row r="119" spans="1:41" ht="15.75" thickBot="1" x14ac:dyDescent="0.3">
      <c r="A119" s="5"/>
      <c r="B119" s="5"/>
      <c r="C119" s="5"/>
      <c r="D119" s="5"/>
      <c r="E119" s="5"/>
      <c r="F119" s="5"/>
      <c r="G119" s="5"/>
      <c r="H119" s="47"/>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row>
    <row r="120" spans="1:41" ht="15.75" thickBot="1" x14ac:dyDescent="0.3">
      <c r="A120" s="5"/>
      <c r="B120" s="5"/>
      <c r="C120" s="5"/>
      <c r="D120" s="5"/>
      <c r="E120" s="5"/>
      <c r="F120" s="5"/>
      <c r="G120" s="5"/>
      <c r="H120" s="47"/>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row>
    <row r="121" spans="1:41" ht="15.75" thickBot="1" x14ac:dyDescent="0.3">
      <c r="A121" s="5"/>
      <c r="B121" s="5"/>
      <c r="C121" s="5"/>
      <c r="D121" s="5"/>
      <c r="E121" s="5"/>
      <c r="F121" s="5"/>
      <c r="G121" s="5"/>
      <c r="H121" s="47"/>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row>
    <row r="122" spans="1:41" ht="15.75" thickBot="1" x14ac:dyDescent="0.3">
      <c r="A122" s="5"/>
      <c r="B122" s="5"/>
      <c r="C122" s="5"/>
      <c r="D122" s="5"/>
      <c r="E122" s="5"/>
      <c r="F122" s="5"/>
      <c r="G122" s="5"/>
      <c r="H122" s="47"/>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row>
    <row r="123" spans="1:41" ht="15.75" thickBot="1" x14ac:dyDescent="0.3">
      <c r="A123" s="5"/>
      <c r="B123" s="5"/>
      <c r="C123" s="5"/>
      <c r="D123" s="5"/>
      <c r="E123" s="5"/>
      <c r="F123" s="5"/>
      <c r="G123" s="5"/>
      <c r="H123" s="47"/>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row>
    <row r="124" spans="1:41" ht="15.75" thickBot="1" x14ac:dyDescent="0.3">
      <c r="A124" s="5"/>
      <c r="B124" s="5"/>
      <c r="C124" s="5"/>
      <c r="D124" s="5"/>
      <c r="E124" s="5"/>
      <c r="F124" s="5"/>
      <c r="G124" s="5"/>
      <c r="H124" s="47"/>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row>
    <row r="125" spans="1:41" ht="15.75" thickBot="1" x14ac:dyDescent="0.3">
      <c r="A125" s="5"/>
      <c r="B125" s="5"/>
      <c r="C125" s="5"/>
      <c r="D125" s="5"/>
      <c r="E125" s="5"/>
      <c r="F125" s="5"/>
      <c r="G125" s="5"/>
      <c r="H125" s="47"/>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row>
    <row r="126" spans="1:41" ht="15.75" thickBot="1" x14ac:dyDescent="0.3">
      <c r="A126" s="5"/>
      <c r="B126" s="5"/>
      <c r="C126" s="5"/>
      <c r="D126" s="5"/>
      <c r="E126" s="5"/>
      <c r="F126" s="5"/>
      <c r="G126" s="5"/>
      <c r="H126" s="47"/>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row>
    <row r="127" spans="1:41" ht="15.75" thickBot="1" x14ac:dyDescent="0.3">
      <c r="A127" s="5"/>
      <c r="B127" s="5"/>
      <c r="C127" s="5"/>
      <c r="D127" s="5"/>
      <c r="E127" s="5"/>
      <c r="F127" s="5"/>
      <c r="G127" s="5"/>
      <c r="H127" s="47"/>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row>
    <row r="128" spans="1:41" ht="15.75" thickBot="1" x14ac:dyDescent="0.3">
      <c r="A128" s="5"/>
      <c r="B128" s="5"/>
      <c r="C128" s="5"/>
      <c r="D128" s="5"/>
      <c r="E128" s="5"/>
      <c r="F128" s="5"/>
      <c r="G128" s="5"/>
      <c r="H128" s="47"/>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row>
    <row r="129" spans="1:41" ht="15.75" thickBot="1" x14ac:dyDescent="0.3">
      <c r="A129" s="5"/>
      <c r="B129" s="5"/>
      <c r="C129" s="5"/>
      <c r="D129" s="5"/>
      <c r="E129" s="5"/>
      <c r="F129" s="5"/>
      <c r="G129" s="5"/>
      <c r="H129" s="47"/>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row>
    <row r="130" spans="1:41" ht="15.75" thickBot="1" x14ac:dyDescent="0.3">
      <c r="A130" s="5"/>
      <c r="B130" s="5"/>
      <c r="C130" s="5"/>
      <c r="D130" s="5"/>
      <c r="E130" s="5"/>
      <c r="F130" s="5"/>
      <c r="G130" s="5"/>
      <c r="H130" s="47"/>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row>
    <row r="131" spans="1:41" ht="15.75" thickBot="1" x14ac:dyDescent="0.3">
      <c r="A131" s="5"/>
      <c r="B131" s="5"/>
      <c r="C131" s="5"/>
      <c r="D131" s="5"/>
      <c r="E131" s="5"/>
      <c r="F131" s="5"/>
      <c r="G131" s="5"/>
      <c r="H131" s="47"/>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row>
    <row r="132" spans="1:41" ht="15.75" thickBot="1" x14ac:dyDescent="0.3">
      <c r="A132" s="5"/>
      <c r="B132" s="5"/>
      <c r="C132" s="5"/>
      <c r="D132" s="5"/>
      <c r="E132" s="5"/>
      <c r="F132" s="5"/>
      <c r="G132" s="5"/>
      <c r="H132" s="47"/>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row>
    <row r="133" spans="1:41" ht="15.75" thickBot="1" x14ac:dyDescent="0.3">
      <c r="A133" s="5"/>
      <c r="B133" s="5"/>
      <c r="C133" s="5"/>
      <c r="D133" s="5"/>
      <c r="E133" s="5"/>
      <c r="F133" s="5"/>
      <c r="G133" s="5"/>
      <c r="H133" s="47"/>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row>
    <row r="134" spans="1:41" ht="15.75" thickBot="1" x14ac:dyDescent="0.3">
      <c r="A134" s="5"/>
      <c r="B134" s="5"/>
      <c r="C134" s="5"/>
      <c r="D134" s="5"/>
      <c r="E134" s="5"/>
      <c r="F134" s="5"/>
      <c r="G134" s="5"/>
      <c r="H134" s="47"/>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row>
    <row r="135" spans="1:41" ht="15.75" thickBot="1" x14ac:dyDescent="0.3">
      <c r="A135" s="5"/>
      <c r="B135" s="5"/>
      <c r="C135" s="5"/>
      <c r="D135" s="5"/>
      <c r="E135" s="5"/>
      <c r="F135" s="5"/>
      <c r="G135" s="5"/>
      <c r="H135" s="47"/>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row>
    <row r="136" spans="1:41" ht="15.75" thickBot="1" x14ac:dyDescent="0.3">
      <c r="A136" s="5"/>
      <c r="B136" s="5"/>
      <c r="C136" s="5"/>
      <c r="D136" s="5"/>
      <c r="E136" s="5"/>
      <c r="F136" s="5"/>
      <c r="G136" s="5"/>
      <c r="H136" s="47"/>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row>
    <row r="137" spans="1:41" ht="15.75" thickBot="1" x14ac:dyDescent="0.3">
      <c r="A137" s="5"/>
      <c r="B137" s="5"/>
      <c r="C137" s="5"/>
      <c r="D137" s="5"/>
      <c r="E137" s="5"/>
      <c r="F137" s="5"/>
      <c r="G137" s="5"/>
      <c r="H137" s="47"/>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row>
    <row r="138" spans="1:41" ht="15.75" thickBot="1" x14ac:dyDescent="0.3">
      <c r="A138" s="5"/>
      <c r="B138" s="5"/>
      <c r="C138" s="5"/>
      <c r="D138" s="5"/>
      <c r="E138" s="5"/>
      <c r="F138" s="5"/>
      <c r="G138" s="5"/>
      <c r="H138" s="47"/>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row>
    <row r="139" spans="1:41" ht="15.75" thickBot="1" x14ac:dyDescent="0.3">
      <c r="A139" s="5"/>
      <c r="B139" s="5"/>
      <c r="C139" s="5"/>
      <c r="D139" s="5"/>
      <c r="E139" s="5"/>
      <c r="F139" s="5"/>
      <c r="G139" s="5"/>
      <c r="H139" s="47"/>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row>
  </sheetData>
  <hyperlinks>
    <hyperlink ref="AG3" r:id="rId1" xr:uid="{0888BFFA-077B-45A7-8C31-5C50E3A03015}"/>
    <hyperlink ref="AH3" r:id="rId2" xr:uid="{8E1EADF9-0820-4C7F-80B5-F93226465DDD}"/>
    <hyperlink ref="AG4" r:id="rId3" xr:uid="{674492F1-281C-437E-8AF0-D6684205F58C}"/>
    <hyperlink ref="AH4" r:id="rId4" xr:uid="{B6075DC4-C9C0-40CA-9EEA-DDEC91B27238}"/>
    <hyperlink ref="AG5" r:id="rId5" xr:uid="{49E79B1B-B485-4EBA-8266-232C5BCFA8ED}"/>
    <hyperlink ref="AH5" r:id="rId6" xr:uid="{79D7ED55-B293-4A93-9C5B-031B07A68E6A}"/>
    <hyperlink ref="AG6" r:id="rId7" xr:uid="{34AD1250-4DD4-4BFF-8865-F40C1B07BAFB}"/>
    <hyperlink ref="AH6" r:id="rId8" xr:uid="{E2CB0E59-9B58-44F9-89EF-C0DF97FB659B}"/>
    <hyperlink ref="AG7" r:id="rId9" xr:uid="{65A365F2-6160-43C5-99D9-F6A2646AF38F}"/>
    <hyperlink ref="AH7" r:id="rId10" xr:uid="{78852002-7925-4403-B4D4-C9CF7897E030}"/>
    <hyperlink ref="AG8" r:id="rId11" xr:uid="{1BE296EB-2072-409C-B20D-C35697323188}"/>
    <hyperlink ref="AH8" r:id="rId12" xr:uid="{4E9E21AE-62F6-43A4-B298-8090EF86AF3A}"/>
    <hyperlink ref="AG9" r:id="rId13" xr:uid="{A8EDE383-9934-4161-A866-E66F2B1C56D4}"/>
    <hyperlink ref="AH9" r:id="rId14" xr:uid="{FA6CAE01-6887-4DF8-903C-5D9B86329202}"/>
    <hyperlink ref="AG10" r:id="rId15" xr:uid="{1CB8960D-5F12-4350-A78B-4B967E737127}"/>
    <hyperlink ref="AH10" r:id="rId16" xr:uid="{64E20667-95A1-4CD6-AF47-CAF0310FC74C}"/>
    <hyperlink ref="AG11" r:id="rId17" xr:uid="{5AF4E71C-A0BB-4313-860A-B656B0F1623F}"/>
    <hyperlink ref="AH11" r:id="rId18" xr:uid="{E72B0B0C-B1A1-457D-B9F8-E9F2068ACE1C}"/>
    <hyperlink ref="AG12" r:id="rId19" xr:uid="{4B345387-C1C7-47B8-9A03-AB656EECC616}"/>
    <hyperlink ref="AH12" r:id="rId20" xr:uid="{74C66F6B-46E0-4C82-9450-54834A9B844E}"/>
    <hyperlink ref="AG13" r:id="rId21" xr:uid="{FC1B4119-9BFF-4451-8D39-D03D158C2889}"/>
    <hyperlink ref="AH13" r:id="rId22" xr:uid="{F9E9E7CA-B3BE-4943-AF92-A69AA5309D19}"/>
    <hyperlink ref="AG14" r:id="rId23" xr:uid="{6C2FD996-D1A5-494B-8E69-857FA35981B7}"/>
    <hyperlink ref="AH14" r:id="rId24" xr:uid="{A2D22E05-9564-4353-A317-6201FEB86E5F}"/>
    <hyperlink ref="AG15" r:id="rId25" xr:uid="{00F765E4-B3B8-41D4-894F-8ADC0CA5DE94}"/>
    <hyperlink ref="AH15" r:id="rId26" xr:uid="{03E49E14-3351-406C-B773-63254A40CE7A}"/>
    <hyperlink ref="AG16" r:id="rId27" xr:uid="{85C9ABBE-7945-415B-8937-535A428A9195}"/>
    <hyperlink ref="AH16" r:id="rId28" xr:uid="{3ECD3CA9-E072-4757-B812-3DC5D1F41D63}"/>
    <hyperlink ref="AG17" r:id="rId29" xr:uid="{DE34DD07-09F6-428F-870E-F58B5FD73151}"/>
    <hyperlink ref="AH17" r:id="rId30" xr:uid="{5B20D0A9-B7E7-42F8-A423-0D00F98941A7}"/>
    <hyperlink ref="AG18" r:id="rId31" xr:uid="{DF7EACDF-077F-400E-B8BC-A74255E61908}"/>
    <hyperlink ref="AH18" r:id="rId32" xr:uid="{5993D3C1-0194-4A5E-9EDB-15036869D0EF}"/>
    <hyperlink ref="AG19" r:id="rId33" xr:uid="{48556326-EB17-4083-BFB7-E8AA9FD8F317}"/>
    <hyperlink ref="AH19" r:id="rId34" xr:uid="{DE195B8C-6129-452A-A033-8C5257C7F2D7}"/>
    <hyperlink ref="AG20" r:id="rId35" xr:uid="{90FD5AB9-95D9-4422-85BF-306F91827763}"/>
    <hyperlink ref="AH20" r:id="rId36" xr:uid="{DFFD980E-720A-445D-B97A-E93B7A2AC708}"/>
    <hyperlink ref="AG21" r:id="rId37" xr:uid="{E2256BA5-1ECA-4E92-8454-6EA0CF7E10C5}"/>
    <hyperlink ref="AH21" r:id="rId38" xr:uid="{42749A41-2F58-47A0-BBFB-DC607062A276}"/>
    <hyperlink ref="AG22" r:id="rId39" xr:uid="{717F87A8-8E5C-4123-A697-3FADEA77E926}"/>
    <hyperlink ref="AH22" r:id="rId40" xr:uid="{0FBE5AC4-4305-4D78-96C0-5624F195009C}"/>
    <hyperlink ref="AG23" r:id="rId41" xr:uid="{8F2CC9F8-BA74-4C0C-8199-E7DEC1DDF6E1}"/>
    <hyperlink ref="AH23" r:id="rId42" xr:uid="{BCC251BA-256F-4ACA-8157-87DA7553882A}"/>
    <hyperlink ref="AG24" r:id="rId43" xr:uid="{DEABBAC6-850D-42BF-8629-8C15E0B5860F}"/>
    <hyperlink ref="AH24" r:id="rId44" xr:uid="{4D05E10E-F63A-4467-B1E0-FA87EC61073A}"/>
    <hyperlink ref="AG25" r:id="rId45" xr:uid="{CC19A7FA-C4AB-4754-A54E-06477E0EE56A}"/>
    <hyperlink ref="AH25" r:id="rId46" xr:uid="{B41DA290-D30C-4D14-AF4D-391613113126}"/>
    <hyperlink ref="AG26" r:id="rId47" xr:uid="{EEA679F2-2CEB-49B5-B200-A4CBDCB6213E}"/>
    <hyperlink ref="AH26" r:id="rId48" xr:uid="{B83F929F-54BE-41E3-A69B-ADF7B59AE3F2}"/>
    <hyperlink ref="AG27" r:id="rId49" xr:uid="{FC968548-6EBD-4B37-8DA4-325D378EC769}"/>
    <hyperlink ref="AH27" r:id="rId50" xr:uid="{B9A0DEE5-5734-440F-A539-DB420E0C0CC5}"/>
    <hyperlink ref="AG28" r:id="rId51" xr:uid="{C141BB54-7225-457A-8AF9-4CB7DE1CB57D}"/>
    <hyperlink ref="AH28" r:id="rId52" xr:uid="{7108D408-705B-405F-9C90-D588F8AF7BD5}"/>
    <hyperlink ref="AG29" r:id="rId53" xr:uid="{95ED3515-0744-4967-9C50-87B2F6D48235}"/>
    <hyperlink ref="AH29" r:id="rId54" xr:uid="{0D81A4A8-7BF4-4786-8F5F-6A0282D815EC}"/>
    <hyperlink ref="AG30" r:id="rId55" xr:uid="{C6DC166A-7923-408D-9F6C-9B4DE0CF0A38}"/>
    <hyperlink ref="AH30" r:id="rId56" xr:uid="{60D1CA12-5B10-4004-9C08-28268D90861D}"/>
    <hyperlink ref="AG31" r:id="rId57" xr:uid="{BEF7C970-A955-4954-BB60-E4437FED3D2E}"/>
    <hyperlink ref="AH31" r:id="rId58" xr:uid="{B9F20ACA-7B66-4070-A1D4-6E29F84D3123}"/>
    <hyperlink ref="AG32" r:id="rId59" xr:uid="{391F71E1-F1A8-422A-8CFE-391F75B9692E}"/>
    <hyperlink ref="AH32" r:id="rId60" xr:uid="{769CAC53-3544-48CD-90D2-C4FFD76D10F0}"/>
    <hyperlink ref="AG33" r:id="rId61" xr:uid="{0F669606-3BCC-4452-BD21-132841C2C939}"/>
    <hyperlink ref="AH33" r:id="rId62" xr:uid="{8858F939-887D-434A-825C-8B9D5533FAE4}"/>
    <hyperlink ref="AG34" r:id="rId63" xr:uid="{9FBF6CB4-A4C7-47BA-99F9-3C6CE34660C5}"/>
    <hyperlink ref="AH34" r:id="rId64" xr:uid="{8257DC1E-8077-4FBB-BE71-A9C3598A073C}"/>
    <hyperlink ref="AG35" r:id="rId65" xr:uid="{5AC53967-A823-4024-AF79-A8F24E0C7BFB}"/>
    <hyperlink ref="AH35" r:id="rId66" xr:uid="{A8FDE206-BD9F-494A-AD59-7F127FA3D510}"/>
    <hyperlink ref="AG36" r:id="rId67" xr:uid="{6F1EC697-31F6-4161-B442-4755A0F8B0BF}"/>
    <hyperlink ref="AH36" r:id="rId68" xr:uid="{DC5CB871-E1C8-49A3-96A7-0CEA0EE16B41}"/>
    <hyperlink ref="AG37" r:id="rId69" xr:uid="{76CD0F49-DA37-431D-A955-CC6E2394F44A}"/>
    <hyperlink ref="AH37" r:id="rId70" xr:uid="{985BB45F-DE17-4F5D-8257-175A5A6DFD08}"/>
    <hyperlink ref="AG38" r:id="rId71" xr:uid="{C2F372E7-2297-4ED3-BF21-EC54FEFEE9D6}"/>
    <hyperlink ref="AH38" r:id="rId72" xr:uid="{0AF4A205-BA70-4FD1-BD0E-F39DE8DC94E3}"/>
    <hyperlink ref="AG39" r:id="rId73" xr:uid="{C3D74B75-EAC1-44DA-B50D-1FFED8122782}"/>
    <hyperlink ref="AH39" r:id="rId74" xr:uid="{EDE6BCDD-7C1C-4983-B44B-BCFF9E9A295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B6248-2CB6-4B77-AEFC-E2BE49FE80A3}">
  <dimension ref="A1:I39"/>
  <sheetViews>
    <sheetView workbookViewId="0">
      <selection activeCell="J16" sqref="J16"/>
    </sheetView>
  </sheetViews>
  <sheetFormatPr defaultRowHeight="15" x14ac:dyDescent="0.25"/>
  <cols>
    <col min="1" max="1" width="38.5703125" bestFit="1" customWidth="1"/>
    <col min="2" max="2" width="10" bestFit="1" customWidth="1"/>
    <col min="3" max="3" width="10.7109375" hidden="1" customWidth="1"/>
    <col min="4" max="4" width="34.42578125" hidden="1" customWidth="1"/>
    <col min="5" max="5" width="10.85546875" style="84" customWidth="1"/>
    <col min="6" max="6" width="9" style="81" customWidth="1"/>
    <col min="7" max="7" width="34.42578125" style="81" hidden="1" customWidth="1"/>
    <col min="8" max="8" width="10.7109375" style="81" customWidth="1"/>
    <col min="9" max="9" width="10.7109375" style="83" customWidth="1"/>
  </cols>
  <sheetData>
    <row r="1" spans="1:9" ht="15.75" thickBot="1" x14ac:dyDescent="0.3">
      <c r="A1" s="1" t="s">
        <v>2</v>
      </c>
      <c r="B1" s="1" t="s">
        <v>3</v>
      </c>
      <c r="C1" s="8" t="s">
        <v>375</v>
      </c>
      <c r="D1" s="1" t="s">
        <v>2</v>
      </c>
      <c r="E1" s="8" t="s">
        <v>796</v>
      </c>
      <c r="F1" s="68" t="s">
        <v>793</v>
      </c>
      <c r="G1" s="69" t="s">
        <v>2</v>
      </c>
      <c r="H1" s="70" t="s">
        <v>794</v>
      </c>
      <c r="I1" s="30" t="s">
        <v>795</v>
      </c>
    </row>
    <row r="2" spans="1:9" ht="15.75" thickBot="1" x14ac:dyDescent="0.3">
      <c r="A2" s="17" t="s">
        <v>18</v>
      </c>
      <c r="B2" s="17" t="s">
        <v>19</v>
      </c>
      <c r="C2" s="64">
        <v>5.5</v>
      </c>
      <c r="D2" s="12" t="s">
        <v>18</v>
      </c>
      <c r="E2" s="31">
        <f>ROUNDUP(C2,0)</f>
        <v>6</v>
      </c>
      <c r="F2" s="71">
        <v>8</v>
      </c>
      <c r="G2" s="72" t="s">
        <v>18</v>
      </c>
      <c r="H2" s="73">
        <v>9.3000000000000007</v>
      </c>
      <c r="I2" s="31">
        <f>MROUND((F2+H2)/2,0.5)</f>
        <v>8.5</v>
      </c>
    </row>
    <row r="3" spans="1:9" ht="15.75" thickBot="1" x14ac:dyDescent="0.3">
      <c r="A3" s="12" t="s">
        <v>28</v>
      </c>
      <c r="B3" s="12" t="s">
        <v>29</v>
      </c>
      <c r="C3" s="63">
        <v>5.9</v>
      </c>
      <c r="D3" s="17" t="s">
        <v>28</v>
      </c>
      <c r="E3" s="31">
        <f t="shared" ref="E3:E39" si="0">ROUNDUP(C3,0)</f>
        <v>6</v>
      </c>
      <c r="F3" s="74">
        <v>10</v>
      </c>
      <c r="G3" s="75" t="s">
        <v>28</v>
      </c>
      <c r="H3" s="76">
        <v>8.6</v>
      </c>
      <c r="I3" s="31">
        <f t="shared" ref="I3:I39" si="1">MROUND((F3+H3)/2,0.5)</f>
        <v>9.5</v>
      </c>
    </row>
    <row r="4" spans="1:9" ht="15.75" thickBot="1" x14ac:dyDescent="0.3">
      <c r="A4" s="17" t="s">
        <v>36</v>
      </c>
      <c r="B4" s="17" t="s">
        <v>37</v>
      </c>
      <c r="C4" s="64">
        <v>5</v>
      </c>
      <c r="D4" s="12" t="s">
        <v>36</v>
      </c>
      <c r="E4" s="31">
        <f t="shared" si="0"/>
        <v>5</v>
      </c>
      <c r="F4" s="71">
        <v>4</v>
      </c>
      <c r="G4" s="72" t="s">
        <v>289</v>
      </c>
      <c r="H4" s="73">
        <v>9.3000000000000007</v>
      </c>
      <c r="I4" s="31">
        <f t="shared" si="1"/>
        <v>6.5</v>
      </c>
    </row>
    <row r="5" spans="1:9" ht="15.75" thickBot="1" x14ac:dyDescent="0.3">
      <c r="A5" s="12" t="s">
        <v>45</v>
      </c>
      <c r="B5" s="12" t="s">
        <v>46</v>
      </c>
      <c r="C5" s="63">
        <v>2.2000000000000002</v>
      </c>
      <c r="D5" s="17" t="s">
        <v>45</v>
      </c>
      <c r="E5" s="31">
        <f t="shared" si="0"/>
        <v>3</v>
      </c>
      <c r="F5" s="74">
        <v>8</v>
      </c>
      <c r="G5" s="75" t="s">
        <v>45</v>
      </c>
      <c r="H5" s="76">
        <v>8.6</v>
      </c>
      <c r="I5" s="31">
        <f t="shared" si="1"/>
        <v>8.5</v>
      </c>
    </row>
    <row r="6" spans="1:9" ht="15.75" thickBot="1" x14ac:dyDescent="0.3">
      <c r="A6" s="17" t="s">
        <v>50</v>
      </c>
      <c r="B6" s="17" t="s">
        <v>51</v>
      </c>
      <c r="C6" s="64">
        <v>6.4</v>
      </c>
      <c r="D6" s="12" t="s">
        <v>50</v>
      </c>
      <c r="E6" s="31">
        <f t="shared" si="0"/>
        <v>7</v>
      </c>
      <c r="F6" s="71">
        <v>8</v>
      </c>
      <c r="G6" s="72" t="s">
        <v>50</v>
      </c>
      <c r="H6" s="73">
        <v>7.9</v>
      </c>
      <c r="I6" s="31">
        <f t="shared" si="1"/>
        <v>8</v>
      </c>
    </row>
    <row r="7" spans="1:9" ht="15.75" thickBot="1" x14ac:dyDescent="0.3">
      <c r="A7" s="12" t="s">
        <v>59</v>
      </c>
      <c r="B7" s="12" t="s">
        <v>60</v>
      </c>
      <c r="C7" s="63">
        <v>7.8</v>
      </c>
      <c r="D7" s="17" t="s">
        <v>59</v>
      </c>
      <c r="E7" s="31">
        <f t="shared" si="0"/>
        <v>8</v>
      </c>
      <c r="F7" s="74">
        <v>5</v>
      </c>
      <c r="G7" s="75" t="s">
        <v>59</v>
      </c>
      <c r="H7" s="76">
        <v>8.6</v>
      </c>
      <c r="I7" s="31">
        <f t="shared" si="1"/>
        <v>7</v>
      </c>
    </row>
    <row r="8" spans="1:9" ht="15.75" thickBot="1" x14ac:dyDescent="0.3">
      <c r="A8" s="12" t="s">
        <v>311</v>
      </c>
      <c r="B8" s="66"/>
      <c r="C8" s="67">
        <v>0</v>
      </c>
      <c r="D8" s="12" t="s">
        <v>311</v>
      </c>
      <c r="E8" s="31">
        <f t="shared" si="0"/>
        <v>0</v>
      </c>
      <c r="F8" s="77">
        <v>0</v>
      </c>
      <c r="G8" s="72" t="s">
        <v>311</v>
      </c>
      <c r="H8" s="73">
        <v>9.3000000000000007</v>
      </c>
      <c r="I8" s="31">
        <f t="shared" si="1"/>
        <v>4.5</v>
      </c>
    </row>
    <row r="9" spans="1:9" ht="15.75" thickBot="1" x14ac:dyDescent="0.3">
      <c r="A9" s="17" t="s">
        <v>66</v>
      </c>
      <c r="B9" s="17" t="s">
        <v>67</v>
      </c>
      <c r="C9" s="64">
        <v>4.0999999999999996</v>
      </c>
      <c r="D9" s="12" t="s">
        <v>66</v>
      </c>
      <c r="E9" s="31">
        <f t="shared" si="0"/>
        <v>5</v>
      </c>
      <c r="F9" s="71">
        <v>10</v>
      </c>
      <c r="G9" s="75" t="s">
        <v>66</v>
      </c>
      <c r="H9" s="76">
        <v>9.3000000000000007</v>
      </c>
      <c r="I9" s="31">
        <f t="shared" si="1"/>
        <v>9.5</v>
      </c>
    </row>
    <row r="10" spans="1:9" ht="15.75" thickBot="1" x14ac:dyDescent="0.3">
      <c r="A10" s="12" t="s">
        <v>75</v>
      </c>
      <c r="B10" s="12" t="s">
        <v>76</v>
      </c>
      <c r="C10" s="63">
        <v>6.6</v>
      </c>
      <c r="D10" s="17" t="s">
        <v>75</v>
      </c>
      <c r="E10" s="31">
        <f t="shared" si="0"/>
        <v>7</v>
      </c>
      <c r="F10" s="74">
        <v>8</v>
      </c>
      <c r="G10" s="72" t="s">
        <v>75</v>
      </c>
      <c r="H10" s="73">
        <v>7.9</v>
      </c>
      <c r="I10" s="31">
        <f t="shared" si="1"/>
        <v>8</v>
      </c>
    </row>
    <row r="11" spans="1:9" ht="15.75" thickBot="1" x14ac:dyDescent="0.3">
      <c r="A11" s="17" t="s">
        <v>83</v>
      </c>
      <c r="B11" s="17" t="s">
        <v>84</v>
      </c>
      <c r="C11" s="64">
        <v>5.5</v>
      </c>
      <c r="D11" s="12" t="s">
        <v>83</v>
      </c>
      <c r="E11" s="31">
        <f t="shared" si="0"/>
        <v>6</v>
      </c>
      <c r="F11" s="71">
        <v>10</v>
      </c>
      <c r="G11" s="75" t="s">
        <v>83</v>
      </c>
      <c r="H11" s="76">
        <v>9.3000000000000007</v>
      </c>
      <c r="I11" s="31">
        <f t="shared" si="1"/>
        <v>9.5</v>
      </c>
    </row>
    <row r="12" spans="1:9" ht="15.75" thickBot="1" x14ac:dyDescent="0.3">
      <c r="A12" s="12" t="s">
        <v>88</v>
      </c>
      <c r="B12" s="12" t="s">
        <v>320</v>
      </c>
      <c r="C12" s="63">
        <v>1.5</v>
      </c>
      <c r="D12" s="17" t="s">
        <v>88</v>
      </c>
      <c r="E12" s="31">
        <f t="shared" si="0"/>
        <v>2</v>
      </c>
      <c r="F12" s="74">
        <v>10</v>
      </c>
      <c r="G12" s="72" t="s">
        <v>88</v>
      </c>
      <c r="H12" s="73">
        <v>7.9</v>
      </c>
      <c r="I12" s="31">
        <f t="shared" si="1"/>
        <v>9</v>
      </c>
    </row>
    <row r="13" spans="1:9" ht="15.75" thickBot="1" x14ac:dyDescent="0.3">
      <c r="A13" s="17" t="s">
        <v>94</v>
      </c>
      <c r="B13" s="17" t="s">
        <v>95</v>
      </c>
      <c r="C13" s="64">
        <v>5.3</v>
      </c>
      <c r="D13" s="12" t="s">
        <v>94</v>
      </c>
      <c r="E13" s="31">
        <f t="shared" si="0"/>
        <v>6</v>
      </c>
      <c r="F13" s="71">
        <v>10</v>
      </c>
      <c r="G13" s="75" t="s">
        <v>94</v>
      </c>
      <c r="H13" s="76">
        <v>9.3000000000000007</v>
      </c>
      <c r="I13" s="31">
        <f t="shared" si="1"/>
        <v>9.5</v>
      </c>
    </row>
    <row r="14" spans="1:9" ht="15.75" thickBot="1" x14ac:dyDescent="0.3">
      <c r="A14" s="12" t="s">
        <v>100</v>
      </c>
      <c r="B14" s="12" t="s">
        <v>101</v>
      </c>
      <c r="C14" s="63">
        <v>5.4</v>
      </c>
      <c r="D14" s="17" t="s">
        <v>100</v>
      </c>
      <c r="E14" s="31">
        <f t="shared" si="0"/>
        <v>6</v>
      </c>
      <c r="F14" s="74">
        <v>8</v>
      </c>
      <c r="G14" s="72" t="s">
        <v>100</v>
      </c>
      <c r="H14" s="73">
        <v>7.9</v>
      </c>
      <c r="I14" s="31">
        <f t="shared" si="1"/>
        <v>8</v>
      </c>
    </row>
    <row r="15" spans="1:9" ht="15.75" thickBot="1" x14ac:dyDescent="0.3">
      <c r="A15" s="17" t="s">
        <v>105</v>
      </c>
      <c r="B15" s="17" t="s">
        <v>106</v>
      </c>
      <c r="C15" s="64">
        <v>4.0999999999999996</v>
      </c>
      <c r="D15" s="12" t="s">
        <v>105</v>
      </c>
      <c r="E15" s="31">
        <f t="shared" si="0"/>
        <v>5</v>
      </c>
      <c r="F15" s="71">
        <v>6</v>
      </c>
      <c r="G15" s="75" t="s">
        <v>105</v>
      </c>
      <c r="H15" s="76">
        <v>8.6</v>
      </c>
      <c r="I15" s="31">
        <f t="shared" si="1"/>
        <v>7.5</v>
      </c>
    </row>
    <row r="16" spans="1:9" ht="15.75" thickBot="1" x14ac:dyDescent="0.3">
      <c r="A16" s="12" t="s">
        <v>553</v>
      </c>
      <c r="B16" s="12" t="s">
        <v>114</v>
      </c>
      <c r="C16" s="63">
        <v>5.0999999999999996</v>
      </c>
      <c r="D16" s="17" t="s">
        <v>113</v>
      </c>
      <c r="E16" s="31">
        <f t="shared" si="0"/>
        <v>6</v>
      </c>
      <c r="F16" s="74">
        <v>10</v>
      </c>
      <c r="G16" s="72" t="s">
        <v>113</v>
      </c>
      <c r="H16" s="73">
        <v>9.3000000000000007</v>
      </c>
      <c r="I16" s="31">
        <f t="shared" si="1"/>
        <v>9.5</v>
      </c>
    </row>
    <row r="17" spans="1:9" ht="15.75" thickBot="1" x14ac:dyDescent="0.3">
      <c r="A17" s="17" t="s">
        <v>119</v>
      </c>
      <c r="B17" s="17" t="s">
        <v>120</v>
      </c>
      <c r="C17" s="64">
        <v>6.1</v>
      </c>
      <c r="D17" s="12" t="s">
        <v>119</v>
      </c>
      <c r="E17" s="31">
        <f t="shared" si="0"/>
        <v>7</v>
      </c>
      <c r="F17" s="71">
        <v>6</v>
      </c>
      <c r="G17" s="75" t="s">
        <v>119</v>
      </c>
      <c r="H17" s="76">
        <v>8.6</v>
      </c>
      <c r="I17" s="31">
        <f t="shared" si="1"/>
        <v>7.5</v>
      </c>
    </row>
    <row r="18" spans="1:9" ht="15.75" thickBot="1" x14ac:dyDescent="0.3">
      <c r="A18" s="12" t="s">
        <v>127</v>
      </c>
      <c r="B18" s="12" t="s">
        <v>128</v>
      </c>
      <c r="C18" s="63">
        <v>5.6</v>
      </c>
      <c r="D18" s="17" t="s">
        <v>127</v>
      </c>
      <c r="E18" s="31">
        <f t="shared" si="0"/>
        <v>6</v>
      </c>
      <c r="F18" s="74">
        <v>8</v>
      </c>
      <c r="G18" s="72" t="s">
        <v>127</v>
      </c>
      <c r="H18" s="73">
        <v>8.6</v>
      </c>
      <c r="I18" s="31">
        <f t="shared" si="1"/>
        <v>8.5</v>
      </c>
    </row>
    <row r="19" spans="1:9" ht="15.75" thickBot="1" x14ac:dyDescent="0.3">
      <c r="A19" s="17" t="s">
        <v>132</v>
      </c>
      <c r="B19" s="17" t="s">
        <v>133</v>
      </c>
      <c r="C19" s="64">
        <v>4.8</v>
      </c>
      <c r="D19" s="12" t="s">
        <v>132</v>
      </c>
      <c r="E19" s="31">
        <f t="shared" si="0"/>
        <v>5</v>
      </c>
      <c r="F19" s="71">
        <v>10</v>
      </c>
      <c r="G19" s="75" t="s">
        <v>132</v>
      </c>
      <c r="H19" s="76">
        <v>9.3000000000000007</v>
      </c>
      <c r="I19" s="31">
        <f t="shared" si="1"/>
        <v>9.5</v>
      </c>
    </row>
    <row r="20" spans="1:9" ht="15.75" thickBot="1" x14ac:dyDescent="0.3">
      <c r="A20" s="12" t="s">
        <v>138</v>
      </c>
      <c r="B20" s="12" t="s">
        <v>139</v>
      </c>
      <c r="C20" s="63">
        <v>5.7</v>
      </c>
      <c r="D20" s="17" t="s">
        <v>138</v>
      </c>
      <c r="E20" s="31">
        <f t="shared" si="0"/>
        <v>6</v>
      </c>
      <c r="F20" s="74">
        <v>10</v>
      </c>
      <c r="G20" s="72" t="s">
        <v>138</v>
      </c>
      <c r="H20" s="73">
        <v>8.6</v>
      </c>
      <c r="I20" s="31">
        <f t="shared" si="1"/>
        <v>9.5</v>
      </c>
    </row>
    <row r="21" spans="1:9" ht="15.75" thickBot="1" x14ac:dyDescent="0.3">
      <c r="A21" s="17" t="s">
        <v>143</v>
      </c>
      <c r="B21" s="17" t="s">
        <v>144</v>
      </c>
      <c r="C21" s="64">
        <v>5</v>
      </c>
      <c r="D21" s="12" t="s">
        <v>143</v>
      </c>
      <c r="E21" s="31">
        <f t="shared" si="0"/>
        <v>5</v>
      </c>
      <c r="F21" s="71">
        <v>8</v>
      </c>
      <c r="G21" s="75" t="s">
        <v>143</v>
      </c>
      <c r="H21" s="76">
        <v>8.6</v>
      </c>
      <c r="I21" s="31">
        <f t="shared" si="1"/>
        <v>8.5</v>
      </c>
    </row>
    <row r="22" spans="1:9" ht="15.75" thickBot="1" x14ac:dyDescent="0.3">
      <c r="A22" s="12" t="s">
        <v>337</v>
      </c>
      <c r="B22" s="12" t="s">
        <v>149</v>
      </c>
      <c r="C22" s="63">
        <v>6.7</v>
      </c>
      <c r="D22" s="17" t="s">
        <v>148</v>
      </c>
      <c r="E22" s="31">
        <f t="shared" si="0"/>
        <v>7</v>
      </c>
      <c r="F22" s="74">
        <v>8</v>
      </c>
      <c r="G22" s="72" t="s">
        <v>337</v>
      </c>
      <c r="H22" s="73">
        <v>8.6</v>
      </c>
      <c r="I22" s="31">
        <f t="shared" si="1"/>
        <v>8.5</v>
      </c>
    </row>
    <row r="23" spans="1:9" ht="15.75" thickBot="1" x14ac:dyDescent="0.3">
      <c r="A23" s="17" t="s">
        <v>155</v>
      </c>
      <c r="B23" s="17" t="s">
        <v>156</v>
      </c>
      <c r="C23" s="64">
        <v>5.3</v>
      </c>
      <c r="D23" s="12" t="s">
        <v>155</v>
      </c>
      <c r="E23" s="31">
        <f t="shared" si="0"/>
        <v>6</v>
      </c>
      <c r="F23" s="71">
        <v>8</v>
      </c>
      <c r="G23" s="75" t="s">
        <v>155</v>
      </c>
      <c r="H23" s="76">
        <v>7.9</v>
      </c>
      <c r="I23" s="31">
        <f t="shared" si="1"/>
        <v>8</v>
      </c>
    </row>
    <row r="24" spans="1:9" ht="15.75" thickBot="1" x14ac:dyDescent="0.3">
      <c r="A24" s="12" t="s">
        <v>637</v>
      </c>
      <c r="B24" s="12" t="s">
        <v>161</v>
      </c>
      <c r="C24" s="63">
        <v>4.4000000000000004</v>
      </c>
      <c r="D24" s="17" t="s">
        <v>160</v>
      </c>
      <c r="E24" s="31">
        <f t="shared" si="0"/>
        <v>5</v>
      </c>
      <c r="F24" s="74">
        <v>6</v>
      </c>
      <c r="G24" s="72" t="s">
        <v>160</v>
      </c>
      <c r="H24" s="73">
        <v>9.3000000000000007</v>
      </c>
      <c r="I24" s="31">
        <f t="shared" si="1"/>
        <v>7.5</v>
      </c>
    </row>
    <row r="25" spans="1:9" ht="15.75" thickBot="1" x14ac:dyDescent="0.3">
      <c r="A25" s="17" t="s">
        <v>167</v>
      </c>
      <c r="B25" s="17" t="s">
        <v>168</v>
      </c>
      <c r="C25" s="64">
        <v>4.3</v>
      </c>
      <c r="D25" s="12" t="s">
        <v>167</v>
      </c>
      <c r="E25" s="31">
        <f t="shared" si="0"/>
        <v>5</v>
      </c>
      <c r="F25" s="71">
        <v>9</v>
      </c>
      <c r="G25" s="75" t="s">
        <v>167</v>
      </c>
      <c r="H25" s="76">
        <v>9.3000000000000007</v>
      </c>
      <c r="I25" s="31">
        <f t="shared" si="1"/>
        <v>9</v>
      </c>
    </row>
    <row r="26" spans="1:9" ht="15.75" thickBot="1" x14ac:dyDescent="0.3">
      <c r="A26" s="12" t="s">
        <v>173</v>
      </c>
      <c r="B26" s="12" t="s">
        <v>174</v>
      </c>
      <c r="C26" s="63">
        <v>3.1</v>
      </c>
      <c r="D26" s="17" t="s">
        <v>173</v>
      </c>
      <c r="E26" s="31">
        <f t="shared" si="0"/>
        <v>4</v>
      </c>
      <c r="F26" s="74">
        <v>6</v>
      </c>
      <c r="G26" s="75" t="s">
        <v>173</v>
      </c>
      <c r="H26" s="77">
        <v>0</v>
      </c>
      <c r="I26" s="31">
        <f t="shared" si="1"/>
        <v>3</v>
      </c>
    </row>
    <row r="27" spans="1:9" ht="15.75" thickBot="1" x14ac:dyDescent="0.3">
      <c r="A27" s="17" t="s">
        <v>182</v>
      </c>
      <c r="B27" s="17" t="s">
        <v>183</v>
      </c>
      <c r="C27" s="64">
        <v>4.7</v>
      </c>
      <c r="D27" s="12" t="s">
        <v>182</v>
      </c>
      <c r="E27" s="31">
        <f t="shared" si="0"/>
        <v>5</v>
      </c>
      <c r="F27" s="71">
        <v>2</v>
      </c>
      <c r="G27" s="72" t="s">
        <v>182</v>
      </c>
      <c r="H27" s="73">
        <v>8.6</v>
      </c>
      <c r="I27" s="31">
        <f t="shared" si="1"/>
        <v>5.5</v>
      </c>
    </row>
    <row r="28" spans="1:9" ht="15.75" thickBot="1" x14ac:dyDescent="0.3">
      <c r="A28" s="12" t="s">
        <v>190</v>
      </c>
      <c r="B28" s="12" t="s">
        <v>191</v>
      </c>
      <c r="C28" s="63">
        <v>4.0999999999999996</v>
      </c>
      <c r="D28" s="17" t="s">
        <v>190</v>
      </c>
      <c r="E28" s="31">
        <f t="shared" si="0"/>
        <v>5</v>
      </c>
      <c r="F28" s="74">
        <v>9</v>
      </c>
      <c r="G28" s="75" t="s">
        <v>190</v>
      </c>
      <c r="H28" s="76">
        <v>8.6</v>
      </c>
      <c r="I28" s="31">
        <f t="shared" si="1"/>
        <v>9</v>
      </c>
    </row>
    <row r="29" spans="1:9" ht="15.75" thickBot="1" x14ac:dyDescent="0.3">
      <c r="A29" s="17" t="s">
        <v>198</v>
      </c>
      <c r="B29" s="17" t="s">
        <v>199</v>
      </c>
      <c r="C29" s="64">
        <v>5.4</v>
      </c>
      <c r="D29" s="12" t="s">
        <v>198</v>
      </c>
      <c r="E29" s="31">
        <f t="shared" si="0"/>
        <v>6</v>
      </c>
      <c r="F29" s="71">
        <v>9</v>
      </c>
      <c r="G29" s="72" t="s">
        <v>198</v>
      </c>
      <c r="H29" s="73">
        <v>9.3000000000000007</v>
      </c>
      <c r="I29" s="31">
        <f t="shared" si="1"/>
        <v>9</v>
      </c>
    </row>
    <row r="30" spans="1:9" ht="15.75" thickBot="1" x14ac:dyDescent="0.3">
      <c r="A30" s="12" t="s">
        <v>204</v>
      </c>
      <c r="B30" s="12" t="s">
        <v>205</v>
      </c>
      <c r="C30" s="63">
        <v>4.7</v>
      </c>
      <c r="D30" s="17" t="s">
        <v>204</v>
      </c>
      <c r="E30" s="31">
        <f t="shared" si="0"/>
        <v>5</v>
      </c>
      <c r="F30" s="74">
        <v>10</v>
      </c>
      <c r="G30" s="75" t="s">
        <v>204</v>
      </c>
      <c r="H30" s="76">
        <v>9.3000000000000007</v>
      </c>
      <c r="I30" s="31">
        <f t="shared" si="1"/>
        <v>9.5</v>
      </c>
    </row>
    <row r="31" spans="1:9" ht="15.75" thickBot="1" x14ac:dyDescent="0.3">
      <c r="A31" s="17" t="s">
        <v>211</v>
      </c>
      <c r="B31" s="17" t="s">
        <v>212</v>
      </c>
      <c r="C31" s="64">
        <v>6.2</v>
      </c>
      <c r="D31" s="12" t="s">
        <v>211</v>
      </c>
      <c r="E31" s="31">
        <f t="shared" si="0"/>
        <v>7</v>
      </c>
      <c r="F31" s="71">
        <v>10</v>
      </c>
      <c r="G31" s="72" t="s">
        <v>211</v>
      </c>
      <c r="H31" s="73">
        <v>9.3000000000000007</v>
      </c>
      <c r="I31" s="31">
        <f t="shared" si="1"/>
        <v>9.5</v>
      </c>
    </row>
    <row r="32" spans="1:9" ht="15.75" thickBot="1" x14ac:dyDescent="0.3">
      <c r="A32" s="12" t="s">
        <v>216</v>
      </c>
      <c r="B32" s="12" t="s">
        <v>217</v>
      </c>
      <c r="C32" s="63">
        <v>6.4</v>
      </c>
      <c r="D32" s="17" t="s">
        <v>216</v>
      </c>
      <c r="E32" s="31">
        <f t="shared" si="0"/>
        <v>7</v>
      </c>
      <c r="F32" s="74">
        <v>10</v>
      </c>
      <c r="G32" s="75" t="s">
        <v>216</v>
      </c>
      <c r="H32" s="76">
        <v>9.3000000000000007</v>
      </c>
      <c r="I32" s="31">
        <f t="shared" si="1"/>
        <v>9.5</v>
      </c>
    </row>
    <row r="33" spans="1:9" ht="15.75" thickBot="1" x14ac:dyDescent="0.3">
      <c r="A33" s="17" t="s">
        <v>222</v>
      </c>
      <c r="B33" s="17" t="s">
        <v>223</v>
      </c>
      <c r="C33" s="64">
        <v>4.4000000000000004</v>
      </c>
      <c r="D33" s="12" t="s">
        <v>222</v>
      </c>
      <c r="E33" s="31">
        <f t="shared" si="0"/>
        <v>5</v>
      </c>
      <c r="F33" s="71">
        <v>4</v>
      </c>
      <c r="G33" s="72" t="s">
        <v>222</v>
      </c>
      <c r="H33" s="73">
        <v>9.3000000000000007</v>
      </c>
      <c r="I33" s="31">
        <f t="shared" si="1"/>
        <v>6.5</v>
      </c>
    </row>
    <row r="34" spans="1:9" ht="15.75" thickBot="1" x14ac:dyDescent="0.3">
      <c r="A34" s="12" t="s">
        <v>230</v>
      </c>
      <c r="B34" s="12" t="s">
        <v>231</v>
      </c>
      <c r="C34" s="63">
        <v>3.8</v>
      </c>
      <c r="D34" s="17" t="s">
        <v>230</v>
      </c>
      <c r="E34" s="31">
        <f t="shared" si="0"/>
        <v>4</v>
      </c>
      <c r="F34" s="74">
        <v>10</v>
      </c>
      <c r="G34" s="75" t="s">
        <v>230</v>
      </c>
      <c r="H34" s="76">
        <v>7.9</v>
      </c>
      <c r="I34" s="31">
        <f t="shared" si="1"/>
        <v>9</v>
      </c>
    </row>
    <row r="35" spans="1:9" ht="15.75" thickBot="1" x14ac:dyDescent="0.3">
      <c r="A35" s="17" t="s">
        <v>240</v>
      </c>
      <c r="B35" s="17" t="s">
        <v>241</v>
      </c>
      <c r="C35" s="64">
        <v>5.9</v>
      </c>
      <c r="D35" s="12" t="s">
        <v>240</v>
      </c>
      <c r="E35" s="31">
        <f t="shared" si="0"/>
        <v>6</v>
      </c>
      <c r="F35" s="71">
        <v>10</v>
      </c>
      <c r="G35" s="72" t="s">
        <v>240</v>
      </c>
      <c r="H35" s="73">
        <v>7.9</v>
      </c>
      <c r="I35" s="31">
        <f t="shared" si="1"/>
        <v>9</v>
      </c>
    </row>
    <row r="36" spans="1:9" ht="15.75" thickBot="1" x14ac:dyDescent="0.3">
      <c r="A36" s="12" t="s">
        <v>246</v>
      </c>
      <c r="B36" s="12" t="s">
        <v>247</v>
      </c>
      <c r="C36" s="63">
        <v>5.5</v>
      </c>
      <c r="D36" s="17" t="s">
        <v>246</v>
      </c>
      <c r="E36" s="31">
        <f t="shared" si="0"/>
        <v>6</v>
      </c>
      <c r="F36" s="74">
        <v>10</v>
      </c>
      <c r="G36" s="75" t="s">
        <v>366</v>
      </c>
      <c r="H36" s="76">
        <v>7.9</v>
      </c>
      <c r="I36" s="31">
        <f t="shared" si="1"/>
        <v>9</v>
      </c>
    </row>
    <row r="37" spans="1:9" ht="15.75" thickBot="1" x14ac:dyDescent="0.3">
      <c r="A37" s="17" t="s">
        <v>372</v>
      </c>
      <c r="B37" s="17" t="s">
        <v>373</v>
      </c>
      <c r="C37" s="64">
        <v>6.4</v>
      </c>
      <c r="D37" s="12" t="s">
        <v>372</v>
      </c>
      <c r="E37" s="31">
        <f t="shared" si="0"/>
        <v>7</v>
      </c>
      <c r="F37" s="77">
        <v>0</v>
      </c>
      <c r="G37" s="72" t="s">
        <v>372</v>
      </c>
      <c r="H37" s="73">
        <v>8.6</v>
      </c>
      <c r="I37" s="31">
        <f t="shared" si="1"/>
        <v>4.5</v>
      </c>
    </row>
    <row r="38" spans="1:9" ht="15.75" thickBot="1" x14ac:dyDescent="0.3">
      <c r="A38" s="12" t="s">
        <v>251</v>
      </c>
      <c r="B38" s="12" t="s">
        <v>252</v>
      </c>
      <c r="C38" s="63">
        <v>7.1</v>
      </c>
      <c r="D38" s="12" t="s">
        <v>251</v>
      </c>
      <c r="E38" s="31">
        <f t="shared" si="0"/>
        <v>8</v>
      </c>
      <c r="F38" s="71">
        <v>7</v>
      </c>
      <c r="G38" s="75" t="s">
        <v>251</v>
      </c>
      <c r="H38" s="76">
        <v>8.6</v>
      </c>
      <c r="I38" s="31">
        <f t="shared" si="1"/>
        <v>8</v>
      </c>
    </row>
    <row r="39" spans="1:9" ht="15.75" thickBot="1" x14ac:dyDescent="0.3">
      <c r="A39" s="25" t="s">
        <v>779</v>
      </c>
      <c r="B39" s="25" t="s">
        <v>260</v>
      </c>
      <c r="C39" s="65">
        <v>4.7</v>
      </c>
      <c r="D39" s="25" t="s">
        <v>259</v>
      </c>
      <c r="E39" s="85">
        <f t="shared" si="0"/>
        <v>5</v>
      </c>
      <c r="F39" s="78">
        <v>6</v>
      </c>
      <c r="G39" s="79" t="s">
        <v>259</v>
      </c>
      <c r="H39" s="80">
        <v>9.3000000000000007</v>
      </c>
      <c r="I39" s="82">
        <f t="shared" si="1"/>
        <v>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ECA1E-85C5-4A75-AC95-B9040A87CE3A}">
  <dimension ref="A1:Q39"/>
  <sheetViews>
    <sheetView workbookViewId="0">
      <selection activeCell="K24" sqref="K24"/>
    </sheetView>
  </sheetViews>
  <sheetFormatPr defaultRowHeight="15" x14ac:dyDescent="0.25"/>
  <cols>
    <col min="1" max="1" width="10.28515625" bestFit="1" customWidth="1"/>
    <col min="2" max="2" width="38" bestFit="1" customWidth="1"/>
    <col min="3" max="17" width="9.140625" style="87"/>
  </cols>
  <sheetData>
    <row r="1" spans="1:17" x14ac:dyDescent="0.25">
      <c r="A1" s="48" t="s">
        <v>3</v>
      </c>
      <c r="B1" s="48" t="s">
        <v>797</v>
      </c>
      <c r="C1" s="86" t="s">
        <v>798</v>
      </c>
      <c r="D1" s="86" t="s">
        <v>799</v>
      </c>
      <c r="E1" s="86" t="s">
        <v>800</v>
      </c>
      <c r="F1" s="86" t="s">
        <v>801</v>
      </c>
      <c r="G1" s="86" t="s">
        <v>802</v>
      </c>
      <c r="H1" s="86" t="s">
        <v>803</v>
      </c>
      <c r="I1" s="86" t="s">
        <v>804</v>
      </c>
      <c r="J1" s="86" t="s">
        <v>805</v>
      </c>
      <c r="K1" s="86" t="s">
        <v>806</v>
      </c>
      <c r="L1" s="86" t="s">
        <v>807</v>
      </c>
      <c r="M1" s="86" t="s">
        <v>808</v>
      </c>
      <c r="N1" s="86" t="s">
        <v>809</v>
      </c>
      <c r="O1" s="86" t="s">
        <v>810</v>
      </c>
      <c r="P1" s="86" t="s">
        <v>811</v>
      </c>
      <c r="Q1"/>
    </row>
    <row r="2" spans="1:17" x14ac:dyDescent="0.25">
      <c r="A2" t="s">
        <v>51</v>
      </c>
      <c r="B2" t="s">
        <v>812</v>
      </c>
      <c r="C2" s="87">
        <v>5.5</v>
      </c>
      <c r="D2" s="87">
        <v>6</v>
      </c>
      <c r="E2" s="87">
        <v>4.9000000000000004</v>
      </c>
      <c r="F2" s="87">
        <v>10</v>
      </c>
      <c r="G2" s="87">
        <v>9.5</v>
      </c>
      <c r="I2" s="87">
        <v>7</v>
      </c>
      <c r="J2" s="87" t="s">
        <v>813</v>
      </c>
      <c r="K2" s="87">
        <v>8.5</v>
      </c>
      <c r="L2" s="87">
        <v>8</v>
      </c>
      <c r="M2" s="87">
        <v>6</v>
      </c>
      <c r="N2" s="87">
        <v>8</v>
      </c>
      <c r="O2" s="87" t="s">
        <v>813</v>
      </c>
      <c r="P2" s="87" t="s">
        <v>813</v>
      </c>
      <c r="Q2" s="87" t="s">
        <v>813</v>
      </c>
    </row>
    <row r="3" spans="1:17" x14ac:dyDescent="0.25">
      <c r="A3" t="s">
        <v>312</v>
      </c>
      <c r="B3" t="s">
        <v>311</v>
      </c>
      <c r="C3" s="88">
        <v>3</v>
      </c>
      <c r="D3" s="87">
        <v>2</v>
      </c>
      <c r="E3" s="87">
        <v>4</v>
      </c>
      <c r="F3" s="87">
        <v>2</v>
      </c>
      <c r="G3" s="87">
        <v>8</v>
      </c>
      <c r="I3" s="88">
        <v>0</v>
      </c>
      <c r="J3" s="87" t="s">
        <v>813</v>
      </c>
      <c r="K3" s="87">
        <v>3.5</v>
      </c>
      <c r="L3" s="87">
        <v>8</v>
      </c>
      <c r="M3" s="87">
        <v>8</v>
      </c>
      <c r="N3" s="87">
        <v>4.5</v>
      </c>
      <c r="O3" s="87" t="s">
        <v>813</v>
      </c>
      <c r="P3" s="87" t="s">
        <v>813</v>
      </c>
      <c r="Q3" s="87" t="s">
        <v>813</v>
      </c>
    </row>
    <row r="4" spans="1:17" x14ac:dyDescent="0.25">
      <c r="A4" t="s">
        <v>191</v>
      </c>
      <c r="B4" t="s">
        <v>190</v>
      </c>
      <c r="C4" s="87">
        <v>4.0999999999999996</v>
      </c>
      <c r="D4" s="87">
        <v>3.8</v>
      </c>
      <c r="E4" s="87">
        <v>4.4000000000000004</v>
      </c>
      <c r="F4" s="87">
        <v>6.5</v>
      </c>
      <c r="G4" s="87">
        <v>5</v>
      </c>
      <c r="H4" s="87">
        <v>3</v>
      </c>
      <c r="I4" s="87">
        <v>5</v>
      </c>
      <c r="J4" s="87" t="s">
        <v>813</v>
      </c>
      <c r="K4" s="87">
        <v>9</v>
      </c>
      <c r="L4" s="87">
        <v>5</v>
      </c>
      <c r="M4" s="87">
        <v>4.5</v>
      </c>
      <c r="N4" s="87">
        <v>9</v>
      </c>
      <c r="O4" s="87" t="s">
        <v>813</v>
      </c>
      <c r="P4" s="87" t="s">
        <v>813</v>
      </c>
      <c r="Q4" s="87" t="s">
        <v>813</v>
      </c>
    </row>
    <row r="5" spans="1:17" x14ac:dyDescent="0.25">
      <c r="A5" t="s">
        <v>106</v>
      </c>
      <c r="B5" t="s">
        <v>105</v>
      </c>
      <c r="C5" s="88">
        <v>3.8</v>
      </c>
      <c r="D5" s="87">
        <v>3.3</v>
      </c>
      <c r="E5" s="87">
        <v>4.3</v>
      </c>
      <c r="F5" s="87">
        <v>7</v>
      </c>
      <c r="G5" s="87">
        <v>2</v>
      </c>
      <c r="I5" s="87">
        <v>5</v>
      </c>
      <c r="J5" s="87" t="s">
        <v>813</v>
      </c>
      <c r="K5" s="87">
        <v>7</v>
      </c>
      <c r="L5" s="87">
        <v>8</v>
      </c>
      <c r="M5" s="87">
        <v>4.5</v>
      </c>
      <c r="N5" s="87">
        <v>7.5</v>
      </c>
      <c r="O5" s="87" t="s">
        <v>813</v>
      </c>
      <c r="P5" s="87" t="s">
        <v>813</v>
      </c>
      <c r="Q5" s="87" t="s">
        <v>813</v>
      </c>
    </row>
    <row r="6" spans="1:17" x14ac:dyDescent="0.25">
      <c r="A6" t="s">
        <v>67</v>
      </c>
      <c r="B6" t="s">
        <v>66</v>
      </c>
      <c r="C6" s="87">
        <v>4.5</v>
      </c>
      <c r="D6" s="87">
        <v>3.9</v>
      </c>
      <c r="E6" s="87">
        <v>5.0999999999999996</v>
      </c>
      <c r="F6" s="87">
        <v>6</v>
      </c>
      <c r="G6" s="87">
        <v>6</v>
      </c>
      <c r="I6" s="87">
        <v>5</v>
      </c>
      <c r="J6" s="87" t="s">
        <v>813</v>
      </c>
      <c r="K6" s="87">
        <v>6.5</v>
      </c>
      <c r="L6" s="87">
        <v>7</v>
      </c>
      <c r="M6" s="87">
        <v>8</v>
      </c>
      <c r="N6" s="87">
        <v>9.5</v>
      </c>
      <c r="O6" s="87" t="s">
        <v>813</v>
      </c>
      <c r="P6" s="87" t="s">
        <v>813</v>
      </c>
      <c r="Q6" s="87" t="s">
        <v>813</v>
      </c>
    </row>
    <row r="7" spans="1:17" x14ac:dyDescent="0.25">
      <c r="A7" t="s">
        <v>183</v>
      </c>
      <c r="B7" t="s">
        <v>814</v>
      </c>
      <c r="C7" s="87">
        <v>4.0999999999999996</v>
      </c>
      <c r="D7" s="87">
        <v>3.6</v>
      </c>
      <c r="E7" s="87">
        <v>4.5</v>
      </c>
      <c r="F7" s="87">
        <v>7.5</v>
      </c>
      <c r="G7" s="87">
        <v>3</v>
      </c>
      <c r="I7" s="87">
        <v>5</v>
      </c>
      <c r="J7" s="87" t="s">
        <v>813</v>
      </c>
      <c r="K7" s="87">
        <v>7.5</v>
      </c>
      <c r="L7" s="87">
        <v>8</v>
      </c>
      <c r="M7" s="87">
        <v>6.5</v>
      </c>
      <c r="N7" s="87">
        <v>5.5</v>
      </c>
      <c r="O7" s="87" t="s">
        <v>813</v>
      </c>
      <c r="P7" s="87" t="s">
        <v>813</v>
      </c>
      <c r="Q7" s="87" t="s">
        <v>813</v>
      </c>
    </row>
    <row r="8" spans="1:17" x14ac:dyDescent="0.25">
      <c r="A8" t="s">
        <v>37</v>
      </c>
      <c r="B8" t="s">
        <v>815</v>
      </c>
      <c r="C8" s="88">
        <v>3.6</v>
      </c>
      <c r="D8" s="87">
        <v>3.2</v>
      </c>
      <c r="E8" s="87">
        <v>3.9</v>
      </c>
      <c r="F8" s="87">
        <v>4.5</v>
      </c>
      <c r="G8" s="87">
        <v>3</v>
      </c>
      <c r="H8" s="87">
        <v>4</v>
      </c>
      <c r="I8" s="87">
        <v>5</v>
      </c>
      <c r="J8" s="87" t="s">
        <v>813</v>
      </c>
      <c r="K8" s="87">
        <v>7</v>
      </c>
      <c r="L8" s="87">
        <v>6.5</v>
      </c>
      <c r="M8" s="87">
        <v>4.5</v>
      </c>
      <c r="N8" s="87">
        <v>6.5</v>
      </c>
      <c r="O8" s="87" t="s">
        <v>813</v>
      </c>
      <c r="P8" s="87" t="s">
        <v>813</v>
      </c>
      <c r="Q8" s="87" t="s">
        <v>813</v>
      </c>
    </row>
    <row r="9" spans="1:17" x14ac:dyDescent="0.25">
      <c r="A9" t="s">
        <v>320</v>
      </c>
      <c r="B9" t="s">
        <v>88</v>
      </c>
      <c r="C9" s="88">
        <v>3.6</v>
      </c>
      <c r="D9" s="87">
        <v>2.4</v>
      </c>
      <c r="E9" s="87">
        <v>4.7</v>
      </c>
      <c r="F9" s="87">
        <v>7</v>
      </c>
      <c r="G9" s="88">
        <v>0</v>
      </c>
      <c r="H9" s="87">
        <v>2</v>
      </c>
      <c r="I9" s="87">
        <v>2</v>
      </c>
      <c r="J9" s="87" t="s">
        <v>813</v>
      </c>
      <c r="K9" s="87">
        <v>7.5</v>
      </c>
      <c r="L9" s="87">
        <v>6.5</v>
      </c>
      <c r="M9" s="87">
        <v>6</v>
      </c>
      <c r="N9" s="87">
        <v>9</v>
      </c>
      <c r="O9" s="87" t="s">
        <v>813</v>
      </c>
      <c r="P9" s="87" t="s">
        <v>813</v>
      </c>
      <c r="Q9" s="87" t="s">
        <v>813</v>
      </c>
    </row>
    <row r="10" spans="1:17" x14ac:dyDescent="0.25">
      <c r="A10" t="s">
        <v>223</v>
      </c>
      <c r="B10" t="s">
        <v>222</v>
      </c>
      <c r="C10" s="87">
        <v>4.0999999999999996</v>
      </c>
      <c r="D10" s="87">
        <v>4.2</v>
      </c>
      <c r="E10" s="87">
        <v>4</v>
      </c>
      <c r="F10" s="87">
        <v>7</v>
      </c>
      <c r="G10" s="87">
        <v>6.5</v>
      </c>
      <c r="I10" s="87">
        <v>5</v>
      </c>
      <c r="J10" s="87" t="s">
        <v>813</v>
      </c>
      <c r="K10" s="87">
        <v>7</v>
      </c>
      <c r="L10" s="87">
        <v>7</v>
      </c>
      <c r="M10" s="87">
        <v>4.5</v>
      </c>
      <c r="N10" s="87">
        <v>6.5</v>
      </c>
      <c r="O10" s="87" t="s">
        <v>813</v>
      </c>
      <c r="P10" s="87" t="s">
        <v>813</v>
      </c>
      <c r="Q10" s="87" t="s">
        <v>813</v>
      </c>
    </row>
    <row r="11" spans="1:17" x14ac:dyDescent="0.25">
      <c r="A11" t="s">
        <v>231</v>
      </c>
      <c r="B11" t="s">
        <v>816</v>
      </c>
      <c r="C11" s="87">
        <v>4.4000000000000004</v>
      </c>
      <c r="D11" s="87">
        <v>3.1</v>
      </c>
      <c r="E11" s="87">
        <v>5.7</v>
      </c>
      <c r="F11" s="87">
        <v>4</v>
      </c>
      <c r="G11" s="87">
        <v>5.5</v>
      </c>
      <c r="I11" s="87">
        <v>4</v>
      </c>
      <c r="J11" s="87" t="s">
        <v>813</v>
      </c>
      <c r="K11" s="87">
        <v>9</v>
      </c>
      <c r="L11" s="87">
        <v>9.5</v>
      </c>
      <c r="M11" s="87">
        <v>8</v>
      </c>
      <c r="N11" s="87">
        <v>9</v>
      </c>
      <c r="O11" s="87" t="s">
        <v>813</v>
      </c>
      <c r="P11" s="87" t="s">
        <v>813</v>
      </c>
      <c r="Q11" s="87" t="s">
        <v>813</v>
      </c>
    </row>
    <row r="12" spans="1:17" x14ac:dyDescent="0.25">
      <c r="A12" t="s">
        <v>144</v>
      </c>
      <c r="B12" t="s">
        <v>143</v>
      </c>
      <c r="C12" s="87">
        <v>4.5</v>
      </c>
      <c r="D12" s="87">
        <v>3.4</v>
      </c>
      <c r="E12" s="87">
        <v>5.6</v>
      </c>
      <c r="F12" s="87">
        <v>6</v>
      </c>
      <c r="G12" s="87">
        <v>3.5</v>
      </c>
      <c r="I12" s="87">
        <v>5</v>
      </c>
      <c r="J12" s="87" t="s">
        <v>813</v>
      </c>
      <c r="K12" s="87">
        <v>9.5</v>
      </c>
      <c r="L12" s="87">
        <v>9</v>
      </c>
      <c r="M12" s="87">
        <v>7.5</v>
      </c>
      <c r="N12" s="87">
        <v>8.5</v>
      </c>
      <c r="O12" s="87" t="s">
        <v>813</v>
      </c>
      <c r="P12" s="87" t="s">
        <v>813</v>
      </c>
      <c r="Q12" s="87" t="s">
        <v>813</v>
      </c>
    </row>
    <row r="13" spans="1:17" x14ac:dyDescent="0.25">
      <c r="A13" t="s">
        <v>114</v>
      </c>
      <c r="B13" t="s">
        <v>113</v>
      </c>
      <c r="C13" s="87">
        <v>5.6</v>
      </c>
      <c r="D13" s="87">
        <v>5.4</v>
      </c>
      <c r="E13" s="87">
        <v>5.8</v>
      </c>
      <c r="F13" s="87">
        <v>8.5</v>
      </c>
      <c r="G13" s="87">
        <v>9.5</v>
      </c>
      <c r="I13" s="87">
        <v>6</v>
      </c>
      <c r="J13" s="87" t="s">
        <v>813</v>
      </c>
      <c r="K13" s="87">
        <v>9</v>
      </c>
      <c r="L13" s="87">
        <v>9</v>
      </c>
      <c r="M13" s="87">
        <v>8.5</v>
      </c>
      <c r="N13" s="87">
        <v>9.5</v>
      </c>
      <c r="O13" s="87" t="s">
        <v>813</v>
      </c>
      <c r="Q13" s="87" t="s">
        <v>813</v>
      </c>
    </row>
    <row r="14" spans="1:17" x14ac:dyDescent="0.25">
      <c r="A14" t="s">
        <v>133</v>
      </c>
      <c r="B14" t="s">
        <v>817</v>
      </c>
      <c r="C14" s="88">
        <v>3.6</v>
      </c>
      <c r="D14" s="87">
        <v>3.5</v>
      </c>
      <c r="E14" s="87">
        <v>3.7</v>
      </c>
      <c r="F14" s="87">
        <v>7</v>
      </c>
      <c r="G14" s="88">
        <v>0</v>
      </c>
      <c r="H14" s="87">
        <v>3</v>
      </c>
      <c r="I14" s="87">
        <v>5</v>
      </c>
      <c r="J14" s="87" t="s">
        <v>813</v>
      </c>
      <c r="K14" s="87">
        <v>9</v>
      </c>
      <c r="L14" s="87">
        <v>0</v>
      </c>
      <c r="M14" s="87">
        <v>4.5</v>
      </c>
      <c r="N14" s="87">
        <v>9.5</v>
      </c>
      <c r="O14" s="87" t="s">
        <v>813</v>
      </c>
      <c r="P14" s="87" t="s">
        <v>813</v>
      </c>
      <c r="Q14" s="87" t="s">
        <v>813</v>
      </c>
    </row>
    <row r="15" spans="1:17" x14ac:dyDescent="0.25">
      <c r="A15" t="s">
        <v>156</v>
      </c>
      <c r="B15" t="s">
        <v>818</v>
      </c>
      <c r="C15" s="87">
        <v>4.5</v>
      </c>
      <c r="D15" s="87">
        <v>4.3</v>
      </c>
      <c r="E15" s="87">
        <v>4.5999999999999996</v>
      </c>
      <c r="F15" s="87">
        <v>5.5</v>
      </c>
      <c r="G15" s="87">
        <v>7</v>
      </c>
      <c r="I15" s="87">
        <v>6</v>
      </c>
      <c r="J15" s="87" t="s">
        <v>813</v>
      </c>
      <c r="K15" s="87">
        <v>8.5</v>
      </c>
      <c r="L15" s="87">
        <v>4</v>
      </c>
      <c r="M15" s="87">
        <v>7.5</v>
      </c>
      <c r="N15" s="87">
        <v>8</v>
      </c>
      <c r="O15" s="87" t="s">
        <v>813</v>
      </c>
      <c r="P15" s="87" t="s">
        <v>813</v>
      </c>
      <c r="Q15" s="87" t="s">
        <v>813</v>
      </c>
    </row>
    <row r="16" spans="1:17" x14ac:dyDescent="0.25">
      <c r="A16" t="s">
        <v>84</v>
      </c>
      <c r="B16" t="s">
        <v>83</v>
      </c>
      <c r="C16" s="87">
        <v>5.0999999999999996</v>
      </c>
      <c r="D16" s="87">
        <v>4.5</v>
      </c>
      <c r="E16" s="87">
        <v>5.7</v>
      </c>
      <c r="F16" s="87">
        <v>7</v>
      </c>
      <c r="G16" s="87">
        <v>6.5</v>
      </c>
      <c r="I16" s="87">
        <v>6</v>
      </c>
      <c r="J16" s="87" t="s">
        <v>813</v>
      </c>
      <c r="K16" s="87">
        <v>9</v>
      </c>
      <c r="L16" s="87">
        <v>9</v>
      </c>
      <c r="M16" s="87">
        <v>8</v>
      </c>
      <c r="N16" s="87">
        <v>9.5</v>
      </c>
      <c r="O16" s="87" t="s">
        <v>813</v>
      </c>
      <c r="P16" s="87" t="s">
        <v>813</v>
      </c>
      <c r="Q16" s="87" t="s">
        <v>813</v>
      </c>
    </row>
    <row r="17" spans="1:17" x14ac:dyDescent="0.25">
      <c r="A17" t="s">
        <v>120</v>
      </c>
      <c r="B17" t="s">
        <v>119</v>
      </c>
      <c r="C17" s="87">
        <v>4.2</v>
      </c>
      <c r="D17" s="87">
        <v>4.5999999999999996</v>
      </c>
      <c r="E17" s="87">
        <v>3.7</v>
      </c>
      <c r="F17" s="87">
        <v>7.5</v>
      </c>
      <c r="G17" s="87">
        <v>5</v>
      </c>
      <c r="H17" s="87">
        <v>4</v>
      </c>
      <c r="I17" s="87">
        <v>7</v>
      </c>
      <c r="J17" s="87" t="s">
        <v>813</v>
      </c>
      <c r="K17" s="87">
        <v>4.5</v>
      </c>
      <c r="L17" s="87">
        <v>6.5</v>
      </c>
      <c r="M17" s="87">
        <v>4.5</v>
      </c>
      <c r="N17" s="87">
        <v>7.5</v>
      </c>
      <c r="O17" s="87" t="s">
        <v>813</v>
      </c>
      <c r="P17" s="87" t="s">
        <v>813</v>
      </c>
      <c r="Q17" s="87" t="s">
        <v>813</v>
      </c>
    </row>
    <row r="18" spans="1:17" x14ac:dyDescent="0.25">
      <c r="A18" t="s">
        <v>205</v>
      </c>
      <c r="B18" t="s">
        <v>204</v>
      </c>
      <c r="C18" s="87">
        <v>4.8</v>
      </c>
      <c r="D18" s="87">
        <v>3.8</v>
      </c>
      <c r="E18" s="87">
        <v>5.7</v>
      </c>
      <c r="F18" s="87">
        <v>5.5</v>
      </c>
      <c r="G18" s="87">
        <v>6</v>
      </c>
      <c r="I18" s="87">
        <v>5</v>
      </c>
      <c r="J18" s="87" t="s">
        <v>813</v>
      </c>
      <c r="K18" s="87">
        <v>8.5</v>
      </c>
      <c r="L18" s="87">
        <v>9</v>
      </c>
      <c r="M18" s="87">
        <v>8</v>
      </c>
      <c r="N18" s="87">
        <v>9.5</v>
      </c>
      <c r="O18" s="87" t="s">
        <v>813</v>
      </c>
      <c r="P18" s="87" t="s">
        <v>813</v>
      </c>
      <c r="Q18" s="87" t="s">
        <v>813</v>
      </c>
    </row>
    <row r="19" spans="1:17" x14ac:dyDescent="0.25">
      <c r="A19" t="s">
        <v>168</v>
      </c>
      <c r="B19" t="s">
        <v>167</v>
      </c>
      <c r="C19" s="87">
        <v>5.2</v>
      </c>
      <c r="D19" s="87">
        <v>4.7</v>
      </c>
      <c r="E19" s="87">
        <v>5.7</v>
      </c>
      <c r="F19" s="87">
        <v>8.5</v>
      </c>
      <c r="G19" s="87">
        <v>7.5</v>
      </c>
      <c r="I19" s="87">
        <v>5</v>
      </c>
      <c r="J19" s="87" t="s">
        <v>813</v>
      </c>
      <c r="K19" s="87">
        <v>8</v>
      </c>
      <c r="L19" s="87">
        <v>9.5</v>
      </c>
      <c r="M19" s="87">
        <v>8.5</v>
      </c>
      <c r="N19" s="87">
        <v>9</v>
      </c>
      <c r="O19" s="87" t="s">
        <v>813</v>
      </c>
      <c r="P19" s="87" t="s">
        <v>813</v>
      </c>
      <c r="Q19" s="87" t="s">
        <v>813</v>
      </c>
    </row>
    <row r="20" spans="1:17" x14ac:dyDescent="0.25">
      <c r="A20" t="s">
        <v>19</v>
      </c>
      <c r="B20" t="s">
        <v>18</v>
      </c>
      <c r="C20" s="87">
        <v>5.3</v>
      </c>
      <c r="D20" s="87">
        <v>4.9000000000000004</v>
      </c>
      <c r="E20" s="87">
        <v>5.7</v>
      </c>
      <c r="F20" s="87">
        <v>5.5</v>
      </c>
      <c r="G20" s="87">
        <v>10</v>
      </c>
      <c r="I20" s="87">
        <v>6</v>
      </c>
      <c r="J20" s="87" t="s">
        <v>813</v>
      </c>
      <c r="K20" s="87">
        <v>9</v>
      </c>
      <c r="L20" s="87">
        <v>9.5</v>
      </c>
      <c r="M20" s="87">
        <v>8</v>
      </c>
      <c r="N20" s="87">
        <v>8.5</v>
      </c>
      <c r="O20" s="87" t="s">
        <v>813</v>
      </c>
      <c r="P20" s="87" t="s">
        <v>813</v>
      </c>
      <c r="Q20" s="87" t="s">
        <v>813</v>
      </c>
    </row>
    <row r="21" spans="1:17" x14ac:dyDescent="0.25">
      <c r="A21" t="s">
        <v>199</v>
      </c>
      <c r="B21" t="s">
        <v>198</v>
      </c>
      <c r="C21" s="87">
        <v>4.7</v>
      </c>
      <c r="D21" s="87">
        <v>4.4000000000000004</v>
      </c>
      <c r="E21" s="87">
        <v>4.9000000000000004</v>
      </c>
      <c r="F21" s="87">
        <v>7.5</v>
      </c>
      <c r="G21" s="87">
        <v>5.5</v>
      </c>
      <c r="H21" s="87">
        <v>2</v>
      </c>
      <c r="I21" s="87">
        <v>6</v>
      </c>
      <c r="J21" s="87" t="s">
        <v>813</v>
      </c>
      <c r="K21" s="87">
        <v>7.5</v>
      </c>
      <c r="L21" s="87">
        <v>4.5</v>
      </c>
      <c r="M21" s="87">
        <v>8.5</v>
      </c>
      <c r="N21" s="87">
        <v>9</v>
      </c>
      <c r="O21" s="87" t="s">
        <v>813</v>
      </c>
      <c r="P21" s="87" t="s">
        <v>813</v>
      </c>
      <c r="Q21" s="87" t="s">
        <v>813</v>
      </c>
    </row>
    <row r="22" spans="1:17" x14ac:dyDescent="0.25">
      <c r="A22" t="s">
        <v>252</v>
      </c>
      <c r="B22" t="s">
        <v>251</v>
      </c>
      <c r="C22" s="87">
        <v>4.5</v>
      </c>
      <c r="D22" s="87">
        <v>5</v>
      </c>
      <c r="E22" s="87">
        <v>4</v>
      </c>
      <c r="F22" s="87">
        <v>6.5</v>
      </c>
      <c r="G22" s="87">
        <v>6.5</v>
      </c>
      <c r="I22" s="87">
        <v>8</v>
      </c>
      <c r="J22" s="87" t="s">
        <v>813</v>
      </c>
      <c r="K22" s="87">
        <v>4.5</v>
      </c>
      <c r="L22" s="87">
        <v>5.5</v>
      </c>
      <c r="M22" s="87">
        <v>6.5</v>
      </c>
      <c r="N22" s="87">
        <v>8</v>
      </c>
      <c r="O22" s="87" t="s">
        <v>813</v>
      </c>
      <c r="P22" s="87" t="s">
        <v>813</v>
      </c>
      <c r="Q22" s="87" t="s">
        <v>813</v>
      </c>
    </row>
    <row r="23" spans="1:17" x14ac:dyDescent="0.25">
      <c r="A23" t="s">
        <v>212</v>
      </c>
      <c r="B23" t="s">
        <v>211</v>
      </c>
      <c r="C23" s="87">
        <v>4.8</v>
      </c>
      <c r="D23" s="87">
        <v>4.5</v>
      </c>
      <c r="E23" s="87">
        <v>5</v>
      </c>
      <c r="F23" s="87">
        <v>6</v>
      </c>
      <c r="G23" s="87">
        <v>6</v>
      </c>
      <c r="I23" s="87">
        <v>7</v>
      </c>
      <c r="J23" s="87" t="s">
        <v>813</v>
      </c>
      <c r="K23" s="87">
        <v>4.5</v>
      </c>
      <c r="L23" s="87">
        <v>8</v>
      </c>
      <c r="M23" s="87">
        <v>8.5</v>
      </c>
      <c r="N23" s="87">
        <v>9.5</v>
      </c>
      <c r="O23" s="87" t="s">
        <v>813</v>
      </c>
      <c r="P23" s="87" t="s">
        <v>813</v>
      </c>
      <c r="Q23" s="87" t="s">
        <v>813</v>
      </c>
    </row>
    <row r="24" spans="1:17" x14ac:dyDescent="0.25">
      <c r="A24" t="s">
        <v>95</v>
      </c>
      <c r="B24" t="s">
        <v>94</v>
      </c>
      <c r="C24" s="87">
        <v>4.5999999999999996</v>
      </c>
      <c r="D24" s="87">
        <v>4.4000000000000004</v>
      </c>
      <c r="E24" s="87">
        <v>4.7</v>
      </c>
      <c r="F24" s="87">
        <v>7</v>
      </c>
      <c r="G24" s="87">
        <v>6</v>
      </c>
      <c r="I24" s="87">
        <v>6</v>
      </c>
      <c r="J24" s="87" t="s">
        <v>813</v>
      </c>
      <c r="K24" s="87">
        <v>6.5</v>
      </c>
      <c r="L24" s="87">
        <v>4</v>
      </c>
      <c r="M24" s="87">
        <v>8.5</v>
      </c>
      <c r="N24" s="87">
        <v>9.5</v>
      </c>
      <c r="O24" s="87" t="s">
        <v>813</v>
      </c>
      <c r="P24" s="87" t="s">
        <v>813</v>
      </c>
      <c r="Q24" s="87" t="s">
        <v>813</v>
      </c>
    </row>
    <row r="25" spans="1:17" x14ac:dyDescent="0.25">
      <c r="A25" t="s">
        <v>101</v>
      </c>
      <c r="B25" t="s">
        <v>100</v>
      </c>
      <c r="C25" s="87">
        <v>4.7</v>
      </c>
      <c r="D25" s="87">
        <v>3.9</v>
      </c>
      <c r="E25" s="87">
        <v>5.4</v>
      </c>
      <c r="F25" s="87">
        <v>1</v>
      </c>
      <c r="G25" s="87">
        <v>6.5</v>
      </c>
      <c r="H25" s="87">
        <v>4</v>
      </c>
      <c r="I25" s="87">
        <v>6</v>
      </c>
      <c r="J25" s="87" t="s">
        <v>813</v>
      </c>
      <c r="K25" s="87">
        <v>9.5</v>
      </c>
      <c r="L25" s="87">
        <v>8.5</v>
      </c>
      <c r="M25" s="87">
        <v>7.5</v>
      </c>
      <c r="N25" s="87">
        <v>8</v>
      </c>
      <c r="O25" s="87" t="s">
        <v>813</v>
      </c>
      <c r="P25" s="87" t="s">
        <v>813</v>
      </c>
      <c r="Q25" s="87" t="s">
        <v>813</v>
      </c>
    </row>
    <row r="26" spans="1:17" x14ac:dyDescent="0.25">
      <c r="A26" t="s">
        <v>373</v>
      </c>
      <c r="B26" t="s">
        <v>372</v>
      </c>
      <c r="C26" s="87">
        <v>4.4000000000000004</v>
      </c>
      <c r="D26" s="87">
        <v>4.3</v>
      </c>
      <c r="E26" s="87">
        <v>4.5</v>
      </c>
      <c r="F26" s="87">
        <v>7</v>
      </c>
      <c r="G26" s="87">
        <v>4</v>
      </c>
      <c r="I26" s="87">
        <v>7</v>
      </c>
      <c r="J26" s="87" t="s">
        <v>813</v>
      </c>
      <c r="K26" s="87">
        <v>8.5</v>
      </c>
      <c r="L26" s="87">
        <v>8</v>
      </c>
      <c r="M26" s="87">
        <v>6.5</v>
      </c>
      <c r="N26" s="87">
        <v>4.5</v>
      </c>
      <c r="O26" s="87" t="s">
        <v>813</v>
      </c>
      <c r="P26" s="87" t="s">
        <v>813</v>
      </c>
      <c r="Q26" s="87" t="s">
        <v>813</v>
      </c>
    </row>
    <row r="27" spans="1:17" x14ac:dyDescent="0.25">
      <c r="A27" t="s">
        <v>174</v>
      </c>
      <c r="B27" t="s">
        <v>173</v>
      </c>
      <c r="C27" s="88">
        <v>3.9</v>
      </c>
      <c r="D27" s="87">
        <v>3.9</v>
      </c>
      <c r="E27" s="87">
        <v>3.9</v>
      </c>
      <c r="F27" s="87">
        <v>7.5</v>
      </c>
      <c r="G27" s="87">
        <v>6</v>
      </c>
      <c r="I27" s="87">
        <v>4</v>
      </c>
      <c r="J27" s="87" t="s">
        <v>813</v>
      </c>
      <c r="K27" s="87">
        <v>8.5</v>
      </c>
      <c r="L27" s="87">
        <v>5.5</v>
      </c>
      <c r="M27" s="87">
        <v>6.5</v>
      </c>
      <c r="N27" s="87">
        <v>3</v>
      </c>
      <c r="O27" s="87" t="s">
        <v>813</v>
      </c>
      <c r="P27" s="87" t="s">
        <v>813</v>
      </c>
      <c r="Q27" s="87" t="s">
        <v>813</v>
      </c>
    </row>
    <row r="28" spans="1:17" x14ac:dyDescent="0.25">
      <c r="A28" t="s">
        <v>161</v>
      </c>
      <c r="B28" t="s">
        <v>160</v>
      </c>
      <c r="C28" s="87">
        <v>4.3</v>
      </c>
      <c r="D28" s="87">
        <v>4</v>
      </c>
      <c r="E28" s="87">
        <v>4.5</v>
      </c>
      <c r="F28" s="87">
        <v>7</v>
      </c>
      <c r="G28" s="87">
        <v>5.5</v>
      </c>
      <c r="H28" s="87">
        <v>4</v>
      </c>
      <c r="I28" s="87">
        <v>5</v>
      </c>
      <c r="J28" s="87" t="s">
        <v>813</v>
      </c>
      <c r="K28" s="87">
        <v>7.5</v>
      </c>
      <c r="L28" s="87">
        <v>7</v>
      </c>
      <c r="M28" s="87">
        <v>6</v>
      </c>
      <c r="N28" s="87">
        <v>7.5</v>
      </c>
      <c r="O28" s="87" t="s">
        <v>813</v>
      </c>
      <c r="P28" s="87" t="s">
        <v>813</v>
      </c>
      <c r="Q28" s="87" t="s">
        <v>813</v>
      </c>
    </row>
    <row r="29" spans="1:17" x14ac:dyDescent="0.25">
      <c r="A29" t="s">
        <v>139</v>
      </c>
      <c r="B29" t="s">
        <v>138</v>
      </c>
      <c r="C29" s="87">
        <v>4.9000000000000004</v>
      </c>
      <c r="D29" s="87">
        <v>4.2</v>
      </c>
      <c r="E29" s="87">
        <v>5.6</v>
      </c>
      <c r="F29" s="87">
        <v>7</v>
      </c>
      <c r="G29" s="87">
        <v>5</v>
      </c>
      <c r="I29" s="87">
        <v>6</v>
      </c>
      <c r="J29" s="87" t="s">
        <v>813</v>
      </c>
      <c r="K29" s="87">
        <v>8</v>
      </c>
      <c r="L29" s="87">
        <v>9</v>
      </c>
      <c r="M29" s="87">
        <v>8</v>
      </c>
      <c r="N29" s="87">
        <v>9.5</v>
      </c>
      <c r="O29" s="87" t="s">
        <v>813</v>
      </c>
      <c r="P29" s="87" t="s">
        <v>813</v>
      </c>
      <c r="Q29" s="87" t="s">
        <v>813</v>
      </c>
    </row>
    <row r="30" spans="1:17" x14ac:dyDescent="0.25">
      <c r="A30" t="s">
        <v>76</v>
      </c>
      <c r="B30" t="s">
        <v>75</v>
      </c>
      <c r="C30" s="87">
        <v>4.9000000000000004</v>
      </c>
      <c r="D30" s="87">
        <v>5.0999999999999996</v>
      </c>
      <c r="E30" s="87">
        <v>4.7</v>
      </c>
      <c r="F30" s="87">
        <v>9.5</v>
      </c>
      <c r="G30" s="87">
        <v>5.5</v>
      </c>
      <c r="H30" s="87">
        <v>3</v>
      </c>
      <c r="I30" s="87">
        <v>7</v>
      </c>
      <c r="J30" s="87" t="s">
        <v>813</v>
      </c>
      <c r="K30" s="87">
        <v>7.5</v>
      </c>
      <c r="L30" s="87">
        <v>8</v>
      </c>
      <c r="M30" s="87">
        <v>6</v>
      </c>
      <c r="N30" s="87">
        <v>8</v>
      </c>
      <c r="O30" s="87" t="s">
        <v>813</v>
      </c>
      <c r="P30" s="87" t="s">
        <v>813</v>
      </c>
      <c r="Q30" s="87" t="s">
        <v>813</v>
      </c>
    </row>
    <row r="31" spans="1:17" x14ac:dyDescent="0.25">
      <c r="A31" t="s">
        <v>247</v>
      </c>
      <c r="B31" t="s">
        <v>366</v>
      </c>
      <c r="C31" s="87">
        <v>4.5999999999999996</v>
      </c>
      <c r="D31" s="87">
        <v>3.5</v>
      </c>
      <c r="E31" s="87">
        <v>5.7</v>
      </c>
      <c r="F31" s="87">
        <v>7</v>
      </c>
      <c r="G31" s="87">
        <v>1.5</v>
      </c>
      <c r="I31" s="87">
        <v>6</v>
      </c>
      <c r="J31" s="87" t="s">
        <v>813</v>
      </c>
      <c r="K31" s="87">
        <v>9</v>
      </c>
      <c r="L31" s="87">
        <v>9</v>
      </c>
      <c r="M31" s="87">
        <v>8</v>
      </c>
      <c r="N31" s="87">
        <v>9</v>
      </c>
      <c r="O31" s="87" t="s">
        <v>813</v>
      </c>
      <c r="P31" s="87" t="s">
        <v>813</v>
      </c>
      <c r="Q31" s="87" t="s">
        <v>813</v>
      </c>
    </row>
    <row r="32" spans="1:17" x14ac:dyDescent="0.25">
      <c r="A32" t="s">
        <v>128</v>
      </c>
      <c r="B32" t="s">
        <v>819</v>
      </c>
      <c r="C32" s="87">
        <v>4.5</v>
      </c>
      <c r="D32" s="87">
        <v>4.2</v>
      </c>
      <c r="E32" s="87">
        <v>4.8</v>
      </c>
      <c r="F32" s="87">
        <v>7.5</v>
      </c>
      <c r="G32" s="87">
        <v>4.5</v>
      </c>
      <c r="H32" s="87">
        <v>4</v>
      </c>
      <c r="I32" s="87">
        <v>6</v>
      </c>
      <c r="J32" s="87" t="s">
        <v>813</v>
      </c>
      <c r="K32" s="87">
        <v>8</v>
      </c>
      <c r="L32" s="87">
        <v>7</v>
      </c>
      <c r="M32" s="87">
        <v>6.5</v>
      </c>
      <c r="N32" s="87">
        <v>8.5</v>
      </c>
      <c r="O32" s="87" t="s">
        <v>813</v>
      </c>
      <c r="P32" s="87" t="s">
        <v>813</v>
      </c>
      <c r="Q32" s="87" t="s">
        <v>813</v>
      </c>
    </row>
    <row r="33" spans="1:17" x14ac:dyDescent="0.25">
      <c r="A33" t="s">
        <v>46</v>
      </c>
      <c r="B33" t="s">
        <v>820</v>
      </c>
      <c r="C33" s="87">
        <v>4.0999999999999996</v>
      </c>
      <c r="D33" s="87">
        <v>2.6</v>
      </c>
      <c r="E33" s="87">
        <v>5.6</v>
      </c>
      <c r="F33" s="87">
        <v>4.5</v>
      </c>
      <c r="G33" s="87">
        <v>2.5</v>
      </c>
      <c r="H33" s="87">
        <v>4</v>
      </c>
      <c r="I33" s="87">
        <v>3</v>
      </c>
      <c r="J33" s="87" t="s">
        <v>813</v>
      </c>
      <c r="K33" s="87">
        <v>9</v>
      </c>
      <c r="L33" s="87">
        <v>10</v>
      </c>
      <c r="M33" s="87">
        <v>7.5</v>
      </c>
      <c r="N33" s="87">
        <v>8.5</v>
      </c>
      <c r="O33" s="87" t="s">
        <v>813</v>
      </c>
      <c r="P33" s="87" t="s">
        <v>813</v>
      </c>
      <c r="Q33" s="87" t="s">
        <v>813</v>
      </c>
    </row>
    <row r="34" spans="1:17" x14ac:dyDescent="0.25">
      <c r="A34" t="s">
        <v>149</v>
      </c>
      <c r="B34" t="s">
        <v>337</v>
      </c>
      <c r="C34" s="87">
        <v>4.8</v>
      </c>
      <c r="D34" s="87">
        <v>4.3</v>
      </c>
      <c r="E34" s="87">
        <v>5.3</v>
      </c>
      <c r="F34" s="87">
        <v>6</v>
      </c>
      <c r="G34" s="87">
        <v>9</v>
      </c>
      <c r="H34" s="87">
        <v>2</v>
      </c>
      <c r="I34" s="87">
        <v>7</v>
      </c>
      <c r="J34" s="87" t="s">
        <v>813</v>
      </c>
      <c r="K34" s="87">
        <v>9</v>
      </c>
      <c r="L34" s="87">
        <v>9.5</v>
      </c>
      <c r="M34" s="87">
        <v>6</v>
      </c>
      <c r="N34" s="87">
        <v>8.5</v>
      </c>
      <c r="O34" s="87" t="s">
        <v>813</v>
      </c>
      <c r="P34" s="87" t="s">
        <v>813</v>
      </c>
      <c r="Q34" s="87" t="s">
        <v>813</v>
      </c>
    </row>
    <row r="35" spans="1:17" x14ac:dyDescent="0.25">
      <c r="A35" t="s">
        <v>29</v>
      </c>
      <c r="B35" t="s">
        <v>821</v>
      </c>
      <c r="C35" s="87">
        <v>5.0999999999999996</v>
      </c>
      <c r="D35" s="87">
        <v>4.3</v>
      </c>
      <c r="E35" s="87">
        <v>5.8</v>
      </c>
      <c r="F35" s="87">
        <v>6</v>
      </c>
      <c r="G35" s="87">
        <v>6.5</v>
      </c>
      <c r="I35" s="87">
        <v>6</v>
      </c>
      <c r="J35" s="87" t="s">
        <v>813</v>
      </c>
      <c r="K35" s="87">
        <v>9</v>
      </c>
      <c r="L35" s="87">
        <v>9.5</v>
      </c>
      <c r="M35" s="87">
        <v>8</v>
      </c>
      <c r="N35" s="87">
        <v>9.5</v>
      </c>
      <c r="O35" s="87" t="s">
        <v>813</v>
      </c>
      <c r="P35" s="87" t="s">
        <v>813</v>
      </c>
      <c r="Q35" s="87" t="s">
        <v>813</v>
      </c>
    </row>
    <row r="36" spans="1:17" x14ac:dyDescent="0.25">
      <c r="A36" t="s">
        <v>241</v>
      </c>
      <c r="B36" t="s">
        <v>240</v>
      </c>
      <c r="C36" s="87">
        <v>4.7</v>
      </c>
      <c r="D36" s="87">
        <v>3.7</v>
      </c>
      <c r="E36" s="87">
        <v>5.6</v>
      </c>
      <c r="F36" s="87">
        <v>8</v>
      </c>
      <c r="G36" s="87">
        <v>1.5</v>
      </c>
      <c r="I36" s="87">
        <v>6</v>
      </c>
      <c r="J36" s="87" t="s">
        <v>813</v>
      </c>
      <c r="K36" s="87">
        <v>9</v>
      </c>
      <c r="L36" s="87">
        <v>8.5</v>
      </c>
      <c r="M36" s="87">
        <v>8</v>
      </c>
      <c r="N36" s="87">
        <v>9</v>
      </c>
      <c r="O36" s="87" t="s">
        <v>813</v>
      </c>
      <c r="P36" s="87" t="s">
        <v>813</v>
      </c>
      <c r="Q36" s="87" t="s">
        <v>813</v>
      </c>
    </row>
    <row r="37" spans="1:17" x14ac:dyDescent="0.25">
      <c r="A37" t="s">
        <v>217</v>
      </c>
      <c r="B37" t="s">
        <v>216</v>
      </c>
      <c r="C37" s="87">
        <v>5.3</v>
      </c>
      <c r="D37" s="87">
        <v>4.7</v>
      </c>
      <c r="E37" s="87">
        <v>5.8</v>
      </c>
      <c r="F37" s="87">
        <v>7</v>
      </c>
      <c r="G37" s="87">
        <v>6</v>
      </c>
      <c r="I37" s="87">
        <v>7</v>
      </c>
      <c r="J37" s="87" t="s">
        <v>813</v>
      </c>
      <c r="K37" s="87">
        <v>9</v>
      </c>
      <c r="L37" s="87">
        <v>9.5</v>
      </c>
      <c r="M37" s="87">
        <v>8</v>
      </c>
      <c r="N37" s="87">
        <v>9.5</v>
      </c>
      <c r="O37" s="87" t="s">
        <v>813</v>
      </c>
      <c r="P37" s="87" t="s">
        <v>813</v>
      </c>
      <c r="Q37" s="87" t="s">
        <v>813</v>
      </c>
    </row>
    <row r="38" spans="1:17" x14ac:dyDescent="0.25">
      <c r="A38" t="s">
        <v>60</v>
      </c>
      <c r="B38" t="s">
        <v>59</v>
      </c>
      <c r="C38" s="87">
        <v>4.8</v>
      </c>
      <c r="D38" s="87">
        <v>4.5999999999999996</v>
      </c>
      <c r="E38" s="87">
        <v>5</v>
      </c>
      <c r="F38" s="87">
        <v>6.5</v>
      </c>
      <c r="G38" s="87">
        <v>4.5</v>
      </c>
      <c r="I38" s="87">
        <v>8</v>
      </c>
      <c r="J38" s="87" t="s">
        <v>813</v>
      </c>
      <c r="K38" s="87">
        <v>9</v>
      </c>
      <c r="L38" s="87">
        <v>7</v>
      </c>
      <c r="M38" s="87">
        <v>7.5</v>
      </c>
      <c r="N38" s="87">
        <v>7</v>
      </c>
      <c r="O38" s="87" t="s">
        <v>813</v>
      </c>
      <c r="P38" s="87" t="s">
        <v>813</v>
      </c>
      <c r="Q38" s="87" t="s">
        <v>813</v>
      </c>
    </row>
    <row r="39" spans="1:17" x14ac:dyDescent="0.25">
      <c r="A39" t="s">
        <v>260</v>
      </c>
      <c r="B39" t="s">
        <v>259</v>
      </c>
      <c r="C39" s="87">
        <v>4</v>
      </c>
      <c r="D39" s="87">
        <v>3.3</v>
      </c>
      <c r="E39" s="87">
        <v>4.5999999999999996</v>
      </c>
      <c r="F39" s="87">
        <v>6</v>
      </c>
      <c r="G39" s="87">
        <v>3</v>
      </c>
      <c r="H39" s="87">
        <v>2</v>
      </c>
      <c r="I39" s="87">
        <v>5</v>
      </c>
      <c r="J39" s="87" t="s">
        <v>813</v>
      </c>
      <c r="K39" s="87">
        <v>7.5</v>
      </c>
      <c r="L39" s="87">
        <v>4.5</v>
      </c>
      <c r="M39" s="87">
        <v>8.5</v>
      </c>
      <c r="N39" s="87">
        <v>7.5</v>
      </c>
      <c r="O39" s="87" t="s">
        <v>813</v>
      </c>
      <c r="P39" s="87" t="s">
        <v>813</v>
      </c>
      <c r="Q39" s="87" t="s">
        <v>813</v>
      </c>
    </row>
  </sheetData>
  <autoFilter ref="A1:Q39" xr:uid="{A6AECA1E-85C5-4A75-AC95-B9040A87CE3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F2E402B-269D-4BAF-B06A-CA7CA533BB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Ex31</vt:lpstr>
      <vt:lpstr>Ex32</vt:lpstr>
      <vt:lpstr>P3</vt:lpstr>
      <vt:lpstr>Notas B3</vt:lpstr>
      <vt:lpstr>Todas Notas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ROGERIO DE OLIVEIRA</dc:creator>
  <cp:lastModifiedBy>ROGERIO DE OLIVEIRA</cp:lastModifiedBy>
  <dcterms:created xsi:type="dcterms:W3CDTF">2026-10-13T12:47:32Z</dcterms:created>
  <dcterms:modified xsi:type="dcterms:W3CDTF">2026-10-13T14:27:57Z</dcterms:modified>
</cp:coreProperties>
</file>