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ano_2026S1\CD\"/>
    </mc:Choice>
  </mc:AlternateContent>
  <xr:revisionPtr revIDLastSave="0" documentId="13_ncr:1_{6DC8A373-61E7-4CEE-9200-56DE96FDA786}" xr6:coauthVersionLast="47" xr6:coauthVersionMax="47" xr10:uidLastSave="{00000000-0000-0000-0000-000000000000}"/>
  <bookViews>
    <workbookView xWindow="20370" yWindow="-120" windowWidth="20730" windowHeight="11040" xr2:uid="{00000000-000D-0000-FFFF-FFFF00000000}"/>
  </bookViews>
  <sheets>
    <sheet name="Nota" sheetId="5" r:id="rId1"/>
    <sheet name="Projetos" sheetId="8" r:id="rId2"/>
    <sheet name="P2 A" sheetId="4" r:id="rId3"/>
    <sheet name="P2 B" sheetId="3" r:id="rId4"/>
    <sheet name="Ex3" sheetId="7" r:id="rId5"/>
    <sheet name="Ex4" sheetId="6" r:id="rId6"/>
    <sheet name="Sheet1" sheetId="1" r:id="rId7"/>
    <sheet name="Sheet2" sheetId="2" r:id="rId8"/>
  </sheets>
  <definedNames>
    <definedName name="_xlnm._FilterDatabase" localSheetId="5" hidden="1">'Ex4'!$A$1:$AW$50</definedName>
    <definedName name="_xlnm._FilterDatabase" localSheetId="0" hidden="1">Nota!$A$1:$M$41</definedName>
    <definedName name="_xlnm._FilterDatabase" localSheetId="2" hidden="1">'P2 A'!$A$1:$AS$13</definedName>
    <definedName name="_xlnm._FilterDatabase" localSheetId="3" hidden="1">'P2 B'!$A$1:$AQ$27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5" l="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2" i="5"/>
  <c r="C9" i="8"/>
  <c r="C8" i="8"/>
  <c r="C7" i="8"/>
  <c r="C6" i="8"/>
  <c r="C5" i="8"/>
  <c r="C4" i="8"/>
  <c r="C3" i="8"/>
  <c r="J2" i="6"/>
  <c r="J3" i="6"/>
  <c r="J4" i="6"/>
  <c r="J5" i="6"/>
  <c r="J6" i="6"/>
  <c r="J7" i="6"/>
  <c r="J8" i="6"/>
  <c r="J9" i="6"/>
  <c r="J10" i="6"/>
  <c r="J11" i="6"/>
  <c r="J12" i="6"/>
  <c r="J13" i="6"/>
  <c r="J14" i="6"/>
  <c r="J15" i="6"/>
  <c r="J16" i="6"/>
  <c r="J17" i="6"/>
  <c r="J18" i="6"/>
  <c r="J19" i="6"/>
  <c r="J20" i="6"/>
  <c r="J21" i="6"/>
  <c r="J22" i="6"/>
  <c r="J23" i="6"/>
  <c r="J24" i="6"/>
  <c r="J25" i="6"/>
  <c r="J26" i="6"/>
  <c r="J28" i="6"/>
  <c r="J29" i="6"/>
  <c r="J30" i="6"/>
  <c r="J31" i="6"/>
  <c r="J32" i="6"/>
  <c r="J33" i="6"/>
  <c r="J34" i="6"/>
  <c r="J35" i="6"/>
  <c r="J36" i="6"/>
  <c r="J37" i="6"/>
  <c r="J38" i="6"/>
  <c r="J27" i="6"/>
  <c r="K38" i="6"/>
  <c r="K37" i="6"/>
  <c r="K36" i="6"/>
  <c r="K35" i="6"/>
  <c r="K34" i="6"/>
  <c r="K33" i="6"/>
  <c r="K32" i="6"/>
  <c r="K31" i="6"/>
  <c r="K30" i="6"/>
  <c r="K29" i="6"/>
  <c r="K28" i="6"/>
  <c r="K26" i="6"/>
  <c r="K25" i="6"/>
  <c r="K24" i="6"/>
  <c r="K23" i="6"/>
  <c r="K22" i="6"/>
  <c r="K21" i="6"/>
  <c r="K20" i="6"/>
  <c r="K19" i="6"/>
  <c r="K18" i="6"/>
  <c r="K17" i="6"/>
  <c r="K16" i="6"/>
  <c r="K15" i="6"/>
  <c r="K14" i="6"/>
  <c r="K13" i="6"/>
  <c r="K12" i="6"/>
  <c r="K11" i="6"/>
  <c r="K10" i="6"/>
  <c r="K9" i="6"/>
  <c r="K8" i="6"/>
  <c r="K7" i="6"/>
  <c r="K6" i="6"/>
  <c r="K5" i="6"/>
  <c r="K4" i="6"/>
  <c r="K3" i="6"/>
  <c r="K2" i="6"/>
  <c r="K27" i="6"/>
  <c r="K39" i="6"/>
  <c r="C19" i="4"/>
  <c r="B14" i="3"/>
  <c r="C14" i="3"/>
  <c r="B15" i="3"/>
  <c r="C15" i="3"/>
  <c r="B16" i="3"/>
  <c r="C16" i="3"/>
  <c r="B17" i="3"/>
  <c r="C17" i="3"/>
  <c r="B18" i="3"/>
  <c r="C18" i="3"/>
  <c r="B19" i="3"/>
  <c r="C19" i="3"/>
  <c r="B20" i="3"/>
  <c r="C20" i="3"/>
  <c r="B21" i="3"/>
  <c r="C21" i="3"/>
  <c r="B22" i="3"/>
  <c r="C22" i="3"/>
  <c r="B23" i="3"/>
  <c r="C23" i="3"/>
  <c r="B24" i="3"/>
  <c r="C24" i="3"/>
  <c r="B25" i="3"/>
  <c r="C25" i="3"/>
  <c r="B26" i="3"/>
  <c r="C26" i="3"/>
  <c r="B27" i="3"/>
  <c r="C27" i="3"/>
  <c r="C13" i="3"/>
  <c r="B13" i="3"/>
  <c r="C12" i="3"/>
  <c r="B12" i="3"/>
  <c r="C11" i="3"/>
  <c r="B11" i="3"/>
  <c r="C10" i="3"/>
  <c r="B10" i="3"/>
  <c r="C9" i="3"/>
  <c r="B9" i="3"/>
  <c r="C8" i="3"/>
  <c r="B8" i="3"/>
  <c r="C7" i="3"/>
  <c r="B7" i="3"/>
  <c r="C6" i="3"/>
  <c r="B6" i="3"/>
  <c r="C5" i="3"/>
  <c r="B5" i="3"/>
  <c r="C4" i="3"/>
  <c r="B4" i="3"/>
  <c r="C3" i="3"/>
  <c r="B3" i="3"/>
  <c r="C2" i="3"/>
  <c r="B2" i="3"/>
  <c r="B2" i="4"/>
  <c r="B4" i="4"/>
  <c r="B5" i="4"/>
  <c r="B6" i="4"/>
  <c r="B7" i="4"/>
  <c r="B8" i="4"/>
  <c r="B9" i="4"/>
  <c r="B10" i="4"/>
  <c r="B11" i="4"/>
  <c r="B12" i="4"/>
  <c r="B13" i="4"/>
  <c r="B3" i="4"/>
  <c r="C2" i="4"/>
  <c r="C3" i="4"/>
  <c r="C4" i="4"/>
  <c r="C5" i="4"/>
  <c r="C6" i="4"/>
  <c r="C7" i="4"/>
  <c r="C8" i="4"/>
  <c r="C9" i="4"/>
  <c r="C10" i="4"/>
  <c r="C11" i="4"/>
  <c r="C12" i="4"/>
  <c r="C13" i="4"/>
  <c r="D3" i="4" l="1"/>
  <c r="D4" i="4"/>
  <c r="D5" i="4"/>
  <c r="D6" i="4"/>
  <c r="D7" i="4"/>
  <c r="D8" i="4"/>
  <c r="D9" i="4"/>
  <c r="D10" i="4"/>
  <c r="D11" i="4"/>
  <c r="D12" i="4"/>
  <c r="D13" i="4"/>
  <c r="D2" i="4"/>
  <c r="D2" i="3"/>
  <c r="D3" i="3"/>
  <c r="D4" i="3"/>
  <c r="D5" i="3"/>
  <c r="D6" i="3"/>
  <c r="D7" i="3"/>
  <c r="D8" i="3"/>
  <c r="D9" i="3"/>
  <c r="D10" i="3"/>
  <c r="D11" i="3"/>
  <c r="D12" i="3"/>
  <c r="D13" i="3"/>
  <c r="D14" i="3"/>
  <c r="D15" i="3"/>
  <c r="D16" i="3"/>
  <c r="D17" i="3"/>
  <c r="D18" i="3"/>
  <c r="D19" i="3"/>
  <c r="D20" i="3"/>
  <c r="D21" i="3"/>
  <c r="D22" i="3"/>
  <c r="D23" i="3"/>
  <c r="D24" i="3"/>
  <c r="D25" i="3"/>
  <c r="D26" i="3"/>
  <c r="D27" i="3"/>
</calcChain>
</file>

<file path=xl/sharedStrings.xml><?xml version="1.0" encoding="utf-8"?>
<sst xmlns="http://schemas.openxmlformats.org/spreadsheetml/2006/main" count="2176" uniqueCount="616">
  <si>
    <t>P1_impar_gabarito_A  1</t>
  </si>
  <si>
    <t>P1_André_Felipe_Silva_Xavier_22013393</t>
  </si>
  <si>
    <t>P1_André_Freire_Prino_21004765</t>
  </si>
  <si>
    <t>P1_Bruno_Giannini_Loffreda_21001227</t>
  </si>
  <si>
    <t>P1_Durval_Consorti_Soranz_de_Barros_Santos_22010970</t>
  </si>
  <si>
    <t>P1_Enrico_Mota_Santarelli_22003703</t>
  </si>
  <si>
    <t>P1_Leonardo_Galdi_Fiorese_22009523</t>
  </si>
  <si>
    <t>P1_Leonardo_Henrique_Dias_Moura_21018375</t>
  </si>
  <si>
    <t>P1_Lucas_Castanho_Paganotto_carvalho_22009213</t>
  </si>
  <si>
    <t>P1_Pedro_Campos_Dec_22007873</t>
  </si>
  <si>
    <t>P1_Rodrigo_Fernandes_Faltz_21016607</t>
  </si>
  <si>
    <t>P1_Sérgio_Guidi_Trovo_22011285</t>
  </si>
  <si>
    <t>Q1A1. Teste escolhido</t>
  </si>
  <si>
    <t>chi2_contingency</t>
  </si>
  <si>
    <t>Chi-Square</t>
  </si>
  <si>
    <t>Qui-quadrado</t>
  </si>
  <si>
    <t>Qui-Quadrado</t>
  </si>
  <si>
    <t>Chi-square</t>
  </si>
  <si>
    <t>chi-square</t>
  </si>
  <si>
    <t>chi-squared test of independence</t>
  </si>
  <si>
    <t>Q1A2. p-value</t>
  </si>
  <si>
    <t>Q1B1. A classe de embarque tem influência na sobrevivência dos passageiros?</t>
  </si>
  <si>
    <t>Sim</t>
  </si>
  <si>
    <t xml:space="preserve">Sim </t>
  </si>
  <si>
    <t>Não</t>
  </si>
  <si>
    <t>Q1C0. A classe mais favorecida para sobrevivência foi</t>
  </si>
  <si>
    <t>First</t>
  </si>
  <si>
    <t>1</t>
  </si>
  <si>
    <t>classe 1</t>
  </si>
  <si>
    <t>Primeira</t>
  </si>
  <si>
    <t>Second</t>
  </si>
  <si>
    <t>Q1C1. P(sobrevivência|classe=mais favorece)</t>
  </si>
  <si>
    <t>Q1C2. P(sobrevivência|classe=menos favorece)</t>
  </si>
  <si>
    <t>Q1C3. P_A/P_B</t>
  </si>
  <si>
    <t>Q2A1. Teste escolhido</t>
  </si>
  <si>
    <t>ttest_ind(a, b, equal_var=False, alternative='less')</t>
  </si>
  <si>
    <t>ttest_ind(age_survived, age_not_survived, equal_var=True, alternative='less')</t>
  </si>
  <si>
    <t>teste t de amostras independentes com parametros equal_var, p_val, idade dos sobreviventes e não sobreviventes.</t>
  </si>
  <si>
    <t>ttest_ind(df_idade_morto,df_idade_vivo, alternative="less")</t>
  </si>
  <si>
    <t>T-test independente (equal_var=True)</t>
  </si>
  <si>
    <t>ttest_ind(age_survived, age_died, equal_var=True, alternative='less')</t>
  </si>
  <si>
    <t>t-test</t>
  </si>
  <si>
    <t>Student's t-test(age_survived, age_not_survived, equal_var=True)</t>
  </si>
  <si>
    <t>ttest_ind(df[df.survived == 'Survived'].age, df[df.survived == 'Died'].age, equal_var=False, alternative='less')</t>
  </si>
  <si>
    <t>t Teste independente</t>
  </si>
  <si>
    <t>ttest_ind(sobreviveu, nao_sobreviveu)</t>
  </si>
  <si>
    <t>ttest_ind(idade_morto,idade_vivo,equal_var=True)</t>
  </si>
  <si>
    <t>Q2A2. p-value</t>
  </si>
  <si>
    <t>Q2B1. Passageiros mais jovens estiveram associados a maiores taxas de sobrevivência?</t>
  </si>
  <si>
    <t>Q2C1. Estatística escolhida</t>
  </si>
  <si>
    <t>dCohen</t>
  </si>
  <si>
    <t>d_cohen</t>
  </si>
  <si>
    <t>Cohen's d</t>
  </si>
  <si>
    <t>ChiQubo</t>
  </si>
  <si>
    <t>Cohen D</t>
  </si>
  <si>
    <t>d de Cohen</t>
  </si>
  <si>
    <t>Shapiro</t>
  </si>
  <si>
    <t>Q2C2. Valor encontrado</t>
  </si>
  <si>
    <t>Q2C3. Influência</t>
  </si>
  <si>
    <t>pequena</t>
  </si>
  <si>
    <t>Grande</t>
  </si>
  <si>
    <t>grande | média | pequena</t>
  </si>
  <si>
    <t>média</t>
  </si>
  <si>
    <t>Q3. Figura salva</t>
  </si>
  <si>
    <t>P1_Q4_plot_P2_gabarito_A_2201164-0.png</t>
  </si>
  <si>
    <t>P1_Q3_plot_André_Felipe_Silva_Xavier_2201339-3.png</t>
  </si>
  <si>
    <t>P1_Q4_plot_André_Freire_Prino_2100476-5.png</t>
  </si>
  <si>
    <t>P1_Q4_plot_Bruno_Giannini_Loffreda_2100122-7.png</t>
  </si>
  <si>
    <t>P1_Q3_plot_Durval_Consorti_Soranz_de_Barros_Santos_2201097-0.png</t>
  </si>
  <si>
    <t>P1_Q4_plot_Enrico_Mota_Santarelli_2200370-3.png</t>
  </si>
  <si>
    <t>P1_Q4_plot_Leonardo_Galdi_Fiorese_2200952-3.png</t>
  </si>
  <si>
    <t>P1_Q4_plot_Leonardo_Henrique_Dias_Moura_2101837-5.png</t>
  </si>
  <si>
    <t>P1_Q4_plot_Lucas_Castanho_Paganotto_carvalho_2200921-3.png</t>
  </si>
  <si>
    <t>P1_Q4_plot_Pedro_Campos_Dec_2200787-3.png</t>
  </si>
  <si>
    <t>P1_Q4_plot_Rodrigo_Fernandes_Faltz_2101660-7.png</t>
  </si>
  <si>
    <t>P1_Q4_plot_Sérgio_Guidi_Trovo_2201128-5.png</t>
  </si>
  <si>
    <t>Q3. Figura</t>
  </si>
  <si>
    <t>Figure(1200x400)</t>
  </si>
  <si>
    <t>Figure(1200x800)</t>
  </si>
  <si>
    <t>Figure(1000x600)</t>
  </si>
  <si>
    <t>Figure(1500x500)</t>
  </si>
  <si>
    <t>Q4A. p</t>
  </si>
  <si>
    <t>Q4B. d</t>
  </si>
  <si>
    <t>Q4C. q</t>
  </si>
  <si>
    <t>Q5A. Coeficiente do 1o termo AR</t>
  </si>
  <si>
    <t>Q5B. Coeficiente do 1o termo MA</t>
  </si>
  <si>
    <t>Q5C. AIC</t>
  </si>
  <si>
    <t>Q5D. Último valor previsto</t>
  </si>
  <si>
    <t>Q5E. RMSE</t>
  </si>
  <si>
    <t>Q6A. Parâmetros do novo modelo</t>
  </si>
  <si>
    <t>(3,1,0)</t>
  </si>
  <si>
    <t>(2,1,1)</t>
  </si>
  <si>
    <t>(1,1,1)</t>
  </si>
  <si>
    <t>(2,1,0)</t>
  </si>
  <si>
    <t>(1,1,2)</t>
  </si>
  <si>
    <t>(1, 1, 2)</t>
  </si>
  <si>
    <t>(4,1,0)</t>
  </si>
  <si>
    <t>(0,1,1)</t>
  </si>
  <si>
    <t>Q6B. AIC</t>
  </si>
  <si>
    <t>Q6C. Último valor previsto</t>
  </si>
  <si>
    <t>Q6D. RMSE</t>
  </si>
  <si>
    <t>Q7A. Figura salva</t>
  </si>
  <si>
    <t>P1_Q7_plot_P2_gabarito_A_2201164-0.png</t>
  </si>
  <si>
    <t>P1_Q7_plot_André_Felipe_Silva_Xavier_2201339-3.png</t>
  </si>
  <si>
    <t>P1_Q7_plot_André_Freire_Prino_2100476-5.png</t>
  </si>
  <si>
    <t>P1_Q7_plot_Bruno_Giannini_Loffreda_2100122-7.png</t>
  </si>
  <si>
    <t>P1_Q7_plot_Durval_Consorti_Soranz_de_Barros_Santos_2201097-0.png</t>
  </si>
  <si>
    <t>P1_Q7_plot_Enrico_Mota_Santarelli_2200370-3.png</t>
  </si>
  <si>
    <t>P1_Q7_plot_Leonardo_Galdi_Fiorese_2200952-3.png</t>
  </si>
  <si>
    <t>P1_Q7_plot_Leonardo_Henrique_Dias_Moura_2101837-5.png</t>
  </si>
  <si>
    <t>P1_Q7_plot_Lucas_Castanho_Paganotto_carvalho_2200921-3.png</t>
  </si>
  <si>
    <t>P1_Q7_plot_Pedro_Campos_Dec_2200787-3.png</t>
  </si>
  <si>
    <t>P1_Q7_plot_Rodrigo_Fernandes_Faltz_2101660-7.png</t>
  </si>
  <si>
    <t>P1_Q7_plot_Sérgio_Guidi_Trovo_2201128-5.png</t>
  </si>
  <si>
    <t>Q7B. Figura</t>
  </si>
  <si>
    <t>Figure(1600x800)</t>
  </si>
  <si>
    <t>Figure(1500x400)</t>
  </si>
  <si>
    <t>Figure(640x480)</t>
  </si>
  <si>
    <t>Q7C. Distribuição Normal</t>
  </si>
  <si>
    <t>SIM</t>
  </si>
  <si>
    <t xml:space="preserve">SIM </t>
  </si>
  <si>
    <t>SIM | NÃO</t>
  </si>
  <si>
    <t>NÃO</t>
  </si>
  <si>
    <t>Q7D. Auto-correlação</t>
  </si>
  <si>
    <t>Q7E. Aptidão do modelo. Este é um bom modelo pela análise dos resíduos</t>
  </si>
  <si>
    <t>Q6E. Melhor?</t>
  </si>
  <si>
    <t>Q6E. O novo modelo é melhor?</t>
  </si>
  <si>
    <t>Q6E. Qual a sua conclusão, o novo modelo é melhor?</t>
  </si>
  <si>
    <t>P1_par_gabarito_B  0</t>
  </si>
  <si>
    <t>P1_Amanda_Carolina_Ambrizzi_Ramin_22007210</t>
  </si>
  <si>
    <t>P1_André_Renato_Almeida_Abreu_22012559</t>
  </si>
  <si>
    <t>P1_André_Solano_Ferreira_Rodrigues_Maiolini_19020120</t>
  </si>
  <si>
    <t>P1_Arthur_Jin_Woo_Lee_22015190</t>
  </si>
  <si>
    <t>P1_Breno_Amorim_Roman_20003950</t>
  </si>
  <si>
    <t>P1_Felipe_Kenzo_Ohara_Sakae_22008152</t>
  </si>
  <si>
    <t>P1_Fernando_Minharro_Alves_Gimenez_22008330</t>
  </si>
  <si>
    <t>P1_Giuliano_Rodrigues_Tumoli_21000360</t>
  </si>
  <si>
    <t>P1_Guilherme_Martins_Souza_Paula_22000062</t>
  </si>
  <si>
    <t>P1_Guilherme_Thomasi_Ronca_22005226</t>
  </si>
  <si>
    <t>P1_João_Paulo_Bonagurio_Ramirez_22012478</t>
  </si>
  <si>
    <t>P1_Leonardo_Roberto_Amadio_22013008</t>
  </si>
  <si>
    <t>P1_Leonardo_Tagliati_da_Silva_22001700</t>
  </si>
  <si>
    <t>P1_Lucas_Gozze_Crapino_22006672</t>
  </si>
  <si>
    <t>P1_Lucas_Olivares_Borges_da_Silva_22008896</t>
  </si>
  <si>
    <t>P1_Luis_Gustavo_Gonçalves_Machado_21003220</t>
  </si>
  <si>
    <t>P1_Matheus_Santos_Feitosa__20006284</t>
  </si>
  <si>
    <t>P1_Murillo_Penha_Strina_22007300</t>
  </si>
  <si>
    <t>P1_Otto_Camargo_Kuchkarian_22005714</t>
  </si>
  <si>
    <t>P1_Rafael_Assanti_22014640</t>
  </si>
  <si>
    <t>P1_Rafael_Maciel_Bertani_21006342</t>
  </si>
  <si>
    <t>P1_Rodrigo_Reis_Monasterios_Morales_22014322</t>
  </si>
  <si>
    <t>P1_Tiago_Tadeu_de_Azevedo_22008560</t>
  </si>
  <si>
    <t>P1_Victor_Augusto_de_Gasperi_22007652</t>
  </si>
  <si>
    <t>P1_Vinicius_Garcia_Imendes_Dechechi_22015680</t>
  </si>
  <si>
    <t>qui-quadrado</t>
  </si>
  <si>
    <t>chi2</t>
  </si>
  <si>
    <t>Qui-Quadrado de Independência</t>
  </si>
  <si>
    <t>chi2_contingency (Qui-quadrado de independência)</t>
  </si>
  <si>
    <t xml:space="preserve">Qui-Quadrado </t>
  </si>
  <si>
    <t>Mann-Whitney U</t>
  </si>
  <si>
    <t>Chi-squared test</t>
  </si>
  <si>
    <t>Teste Qui-quadrado</t>
  </si>
  <si>
    <t>(Qui-Quadrado de independência ou pearson)</t>
  </si>
  <si>
    <t>Qui-Quadrado (Chi-Square)</t>
  </si>
  <si>
    <t>qui-quadrado de independência</t>
  </si>
  <si>
    <t>Qui-Quadrado de Independencia</t>
  </si>
  <si>
    <t>Q1B1. O embarque desacompanhado influência na sobrevivência dos passageiros?</t>
  </si>
  <si>
    <t>Q1C1. P(sobrevivência|acompanhado)</t>
  </si>
  <si>
    <t>Q1C2. P(sobrevivência|desacompanhado)</t>
  </si>
  <si>
    <t>ttest_ind(age_survived, age_not_survived, equal_var=False, alternative='less')</t>
  </si>
  <si>
    <t>ttest_ind(idades_sobreviventes, idades_nao_sobreviventes, equal_var=True)</t>
  </si>
  <si>
    <t>ttest_ind(age_survived, age_not_survived, alternative='less', equal_var=True)</t>
  </si>
  <si>
    <t>ttest_ind(idade_sobreviveu, idade_nao_sobreviveu, equal_var=True, alternative='two-sided')</t>
  </si>
  <si>
    <t>ttest_ind(a, b, equal_var=True, alternative=less) - t de Student unilateral</t>
  </si>
  <si>
    <t xml:space="preserve">ttest_ind(surv, died, equal_var=True) </t>
  </si>
  <si>
    <t>Teste T para amostras independentes (stats.ttest_ind)</t>
  </si>
  <si>
    <t>Teste t de Student para amostras independentes (equal_var=True)</t>
  </si>
  <si>
    <t>Teste T Independente</t>
  </si>
  <si>
    <t>mannwhitneyu(age_survived, age_not_survived)</t>
  </si>
  <si>
    <t>Independent samples t-test (Welch’s)</t>
  </si>
  <si>
    <t>ttest_ind(age_survived, age_died, equal_var=False, alternative='less')</t>
  </si>
  <si>
    <t>ttest_ind(age_surv, age_died, equal_var=True, alternative='less')</t>
  </si>
  <si>
    <t>Teste T para amostras independentes</t>
  </si>
  <si>
    <t>Teste-t para amostras independentes (scipy.stats.ttest_ind, alternative=less)</t>
  </si>
  <si>
    <t>T-Test(age_survived,age_not_survived)</t>
  </si>
  <si>
    <t>Teste t de Student para duas amostras (equal_var=True, alternative='less')</t>
  </si>
  <si>
    <t>t-test(age_survived, age_died, equal_var=True, alternative='less')</t>
  </si>
  <si>
    <t>Teste-t de amostras independentes (Student)</t>
  </si>
  <si>
    <t>Teste T de amostras independentes (stats.ttest_ind, equal_var=True)</t>
  </si>
  <si>
    <t>Regressão Logística (variável independente: age)</t>
  </si>
  <si>
    <t>Teste-t de Student para amostras independentes</t>
  </si>
  <si>
    <t>stats.ttest_ind(grupo_sobreviveu, grupo_nao_sobreviveu, equal_var=False)</t>
  </si>
  <si>
    <t>ttest_ind(age_survived, age_died, equal_var=True)</t>
  </si>
  <si>
    <t>D de Cohen</t>
  </si>
  <si>
    <t>Não significativo</t>
  </si>
  <si>
    <t>R-quadrado</t>
  </si>
  <si>
    <t>Cohen-d</t>
  </si>
  <si>
    <t>Cohen d</t>
  </si>
  <si>
    <t>Odds Ratio (para idade)</t>
  </si>
  <si>
    <t>Pequena</t>
  </si>
  <si>
    <t>nenhuma</t>
  </si>
  <si>
    <t>P1_Q4_plot_P2_gabarito_B_2201164-0.png</t>
  </si>
  <si>
    <t>P1_Q4_plot_Amanda_Carolina_Ambrizzi_Ramin_2200721-0.png</t>
  </si>
  <si>
    <t>P1_Q4_plot_André_Solano_Ferreira_Rodrigues_Maiolini_1902012-0.png</t>
  </si>
  <si>
    <t>P1_Q3_plot_Arthur_Jin_Woo_Lee_2201519-0.png</t>
  </si>
  <si>
    <t>P1_Q4_plot_Breno_Amorim_Roman_2000395-0.png</t>
  </si>
  <si>
    <t>P1_Q4_plot_Felipe_Kenzo_Ohara_Sakae_2200815-2.png</t>
  </si>
  <si>
    <t>P1_Q4_plot_Fernando_Minharro_Alves_Gimenez_2200833-0.png</t>
  </si>
  <si>
    <t>P1_Q4_plot_Giuliano_Rodrigues_Tumoli_2100036-0.png</t>
  </si>
  <si>
    <t>P1_Q4_plot_Guilherme_Martins_Souza_Paula_2200006-2.png</t>
  </si>
  <si>
    <t>P1_Q4_plot_Guilherme_Thomasi_Ronca_2200522-6.png</t>
  </si>
  <si>
    <t>P1_Q4_plot_João_Paulo_Bonagurio_Ramirez_2201247-8.png</t>
  </si>
  <si>
    <t>P1_Q4_plot_Leonardo_Roberto_Amadio_2201300-8.png</t>
  </si>
  <si>
    <t>P1_Q4_plot_Leonardo_Tagliati_da_Silva_2200170-0.png</t>
  </si>
  <si>
    <t>P1_Q4_plot_Lucas_Gozze_Crapino_2200667-2.png</t>
  </si>
  <si>
    <t>P1_Q4_plot_Lucas_Olivares_Borges_da_Silva_2200889-6.png</t>
  </si>
  <si>
    <t>P1_Q4_plot_Luis_Gustavo_Gonçalves_Machado_2100322-0.png</t>
  </si>
  <si>
    <t>P1_Q4_plot_Matheus_Santos_Feitosa__2000628-4.png</t>
  </si>
  <si>
    <t>P1_Q4_plot_Murillo_Penha_Strina_2200730-0.png</t>
  </si>
  <si>
    <t>P1_Q4_plot_Otto_Camargo_Kuchkarian_2200571-4.png</t>
  </si>
  <si>
    <t>P1_Q4_plot_Rafael_Assanti_2201464-0.png</t>
  </si>
  <si>
    <t>P1_Q4_plot_Rafael_Maciel_Bertani_2100634-2.png</t>
  </si>
  <si>
    <t>P1_Q4_plot_Rodrigo_Reis_Monasterios_Morales_2201432-2.png</t>
  </si>
  <si>
    <t>P1_Q4_plot_Tiago_Tadeu_de_Azevedo_2200856-0.png</t>
  </si>
  <si>
    <t>P1_Q4_plot_Victor_Augusto_de_Gasperi_2200765-2.png</t>
  </si>
  <si>
    <t>P1_Q4_plot_Vinicius_Garcia_Imendes_Dechechi_2201568-0.png</t>
  </si>
  <si>
    <t>Figure(1400x500)</t>
  </si>
  <si>
    <t>Figure(1600x400)</t>
  </si>
  <si>
    <t>Figure(1600x1000)</t>
  </si>
  <si>
    <t>(3, 1, 0)</t>
  </si>
  <si>
    <t>(0, 1, 1)</t>
  </si>
  <si>
    <t>(2, 1, 0)</t>
  </si>
  <si>
    <t>P1_Q7_plot_P2_gabarito_B_2201164-0.png</t>
  </si>
  <si>
    <t>P1_Q7_plot_Amanda_Carolina_Ambrizzi_Ramin_2200721-0.png</t>
  </si>
  <si>
    <t>P1_Q7_plot_André_Renato_Almeida_Abreu_2201255-9.png</t>
  </si>
  <si>
    <t>P1_Q7_plot_André_Solano_Ferreira_Rodrigues_Maiolini_1902012-0.png</t>
  </si>
  <si>
    <t>P1_Q7_plot_Arthur_Jin_Woo_Lee_2201519-0.png</t>
  </si>
  <si>
    <t>P1_Q7_plot_Breno_Amorim_Roman_2000395-0.png</t>
  </si>
  <si>
    <t>P1_Q7_plot_Felipe_Kenzo_Ohara_Sakae_2200815-2.png</t>
  </si>
  <si>
    <t>P1_Q7_plot_Fernando_Minharro_Alves_Gimenez_2200833-0.png</t>
  </si>
  <si>
    <t>P1_Q7_plot_Guilherme_Martins_Souza_Paula_2200006-2.png</t>
  </si>
  <si>
    <t>P1_Q7_plot_Guilherme_Thomasi_Ronca_2200522-6.png</t>
  </si>
  <si>
    <t>P1_Q7_plot_João_Paulo_Bonagurio_Ramirez_2201247-8.png</t>
  </si>
  <si>
    <t>P1_Q7_plot_Leonardo_Roberto_Amadio_2201300-8.png</t>
  </si>
  <si>
    <t>P1_Q7_plot_Leonardo_Tagliati_da_Silva_2200170-0.png</t>
  </si>
  <si>
    <t>P1_Q7_plot_Lucas_Gozze_Crapino_2200667-2.png</t>
  </si>
  <si>
    <t>P1_Q7_plot_Lucas_Olivares_Borges_da_Silva_2200889-6.png</t>
  </si>
  <si>
    <t>P1_Q7_plot_Luis_Gustavo_Gonçalves_Machado_2100322-0.png</t>
  </si>
  <si>
    <t>P1_Q7_plot_Matheus_Santos_Feitosa__2000628-4.png</t>
  </si>
  <si>
    <t>P1_Q7_plot_Murillo_Penha_Strina_2200730-0.png</t>
  </si>
  <si>
    <t>P1_Q7_plot_Otto_Camargo_Kuchkarian_2200571-4.png</t>
  </si>
  <si>
    <t>P1_Q7_plot_Rafael_Assanti_2201464-0.png</t>
  </si>
  <si>
    <t>P1_Q7_plot_Rafael_Maciel_Bertani_2100634-2.png</t>
  </si>
  <si>
    <t>P1_Q7_plot_Rodrigo_Reis_Monasterios_Morales_2201432-2.png</t>
  </si>
  <si>
    <t>P1_Q7_plot_Tiago_Tadeu_de_Azevedo_2200856-0.png</t>
  </si>
  <si>
    <t>P1_Q7_plot_Victor_Augusto_de_Gasperi_2200765-2.png</t>
  </si>
  <si>
    <t>P1_Q7_plot_Vinicius_Garcia_Imendes_Dechechi_2201568-0.png</t>
  </si>
  <si>
    <t>Figure(1400x800)</t>
  </si>
  <si>
    <t>Figure(1500x1000)</t>
  </si>
  <si>
    <t>Figure(1400x1000)</t>
  </si>
  <si>
    <t>Figure(1400x400)</t>
  </si>
  <si>
    <t>Figure(1800x400)</t>
  </si>
  <si>
    <t>Figure(1200x500)</t>
  </si>
  <si>
    <t>Figure(1000x700)</t>
  </si>
  <si>
    <t>Figure(1000x800)</t>
  </si>
  <si>
    <t>NAO</t>
  </si>
  <si>
    <t>Q6E. Conclusão</t>
  </si>
  <si>
    <t>Q7E. Aptidão do modelo</t>
  </si>
  <si>
    <t>Q6E. Novo modelo é melhor?</t>
  </si>
  <si>
    <t>H1</t>
  </si>
  <si>
    <t>H2</t>
  </si>
  <si>
    <t>H3</t>
  </si>
  <si>
    <t>H4</t>
  </si>
  <si>
    <t>G1</t>
  </si>
  <si>
    <t>S1</t>
  </si>
  <si>
    <t>S2</t>
  </si>
  <si>
    <t>S3</t>
  </si>
  <si>
    <t>S4</t>
  </si>
  <si>
    <t>Prática</t>
  </si>
  <si>
    <t>Nome</t>
  </si>
  <si>
    <t>RA</t>
  </si>
  <si>
    <t>Amanda Carolina Ambrizzi Ramin</t>
  </si>
  <si>
    <t>André Renato Almeida Abreu</t>
  </si>
  <si>
    <t>André Solano Ferreira Rodrigues Maiolini</t>
  </si>
  <si>
    <t>Arthur Jin Woo Lee</t>
  </si>
  <si>
    <t>Breno Amorim Roman</t>
  </si>
  <si>
    <t>Felipe Kenzo Ohara Sakae</t>
  </si>
  <si>
    <t>Fernando Minharro Alves Gimenez</t>
  </si>
  <si>
    <t>Giuliano Rodrigues Tumoli</t>
  </si>
  <si>
    <t>Guilherme Martins Souza Paula</t>
  </si>
  <si>
    <t>Guilherme Thomasi Ronca</t>
  </si>
  <si>
    <t>João Paulo Bonagurio Ramirez</t>
  </si>
  <si>
    <t>Leonardo Roberto Amadio</t>
  </si>
  <si>
    <t>Leonardo Tagliati da Silva</t>
  </si>
  <si>
    <t>Lucas Gozze Crapino</t>
  </si>
  <si>
    <t>Lucas Olivares Borges da Silva</t>
  </si>
  <si>
    <t>Luis Gustavo Gonçalves Machado</t>
  </si>
  <si>
    <t xml:space="preserve">Matheus Santos Feitosa </t>
  </si>
  <si>
    <t>Murillo Penha Strina</t>
  </si>
  <si>
    <t>Otto Camargo Kuchkarian</t>
  </si>
  <si>
    <t>Rafael Assanti</t>
  </si>
  <si>
    <t>Rafael Maciel Bertani</t>
  </si>
  <si>
    <t>Rodrigo Reis Monasterios Morales</t>
  </si>
  <si>
    <t>Tiago Tadeu de Azevedo</t>
  </si>
  <si>
    <t>Victor Augusto de Gasperi</t>
  </si>
  <si>
    <t>Vinicius Garcia Imendes Dechechi</t>
  </si>
  <si>
    <t>André Felipe Silva Xavier</t>
  </si>
  <si>
    <t>André Freire Prino</t>
  </si>
  <si>
    <t>Bruno Giannini Loffreda</t>
  </si>
  <si>
    <t>Durval Consorti Soranz de Barros Santos</t>
  </si>
  <si>
    <t>Enrico Mota Santarelli</t>
  </si>
  <si>
    <t>Leonardo Galdi Fiorese</t>
  </si>
  <si>
    <t>Leonardo Henrique Dias Moura</t>
  </si>
  <si>
    <t>Lucas Castanho Paganotto carvalho</t>
  </si>
  <si>
    <t>Pedro Campos Dec</t>
  </si>
  <si>
    <t>Rodrigo Fernandes Faltz</t>
  </si>
  <si>
    <t>Sérgio Guidi Trovo</t>
  </si>
  <si>
    <t>Prova
(0.8 Pratica + Teoria)
(0-11)</t>
  </si>
  <si>
    <t>Ex3</t>
  </si>
  <si>
    <t>Ex4</t>
  </si>
  <si>
    <t>Q1</t>
  </si>
  <si>
    <t>Q2</t>
  </si>
  <si>
    <t>Q3</t>
  </si>
  <si>
    <t>Q4</t>
  </si>
  <si>
    <t>Q5</t>
  </si>
  <si>
    <t>Q6</t>
  </si>
  <si>
    <t>Ex4_gabarito_22.011640.pkl</t>
  </si>
  <si>
    <t>shapiro</t>
  </si>
  <si>
    <t>bartlett</t>
  </si>
  <si>
    <t>ttest_rel</t>
  </si>
  <si>
    <t>sim</t>
  </si>
  <si>
    <t xml:space="preserve">sim </t>
  </si>
  <si>
    <t>não</t>
  </si>
  <si>
    <t>Mann-Whitney</t>
  </si>
  <si>
    <t>{'Quando você utiliza um teste não pareado em dados que são pareados (dependentes) o p-valor é afetado.Na maior parte das vezes é aumentado o p-valor no teste não pareado, com  aumento de falsos negativos (Erro Tipo II),mas também é possível, a depender do dados, de ser reduzido, com aumento de falsos positivos (Erro Tipo I).'}</t>
  </si>
  <si>
    <t>EX4_Matheus_Santos_Feitosa_20.006284</t>
  </si>
  <si>
    <t>EX4_Matheus_Santos_Feitosa_20.006284 p</t>
  </si>
  <si>
    <t>Shapiro-Wilk sobre as diferenças</t>
  </si>
  <si>
    <t>Não se aplica, é pareado</t>
  </si>
  <si>
    <t>teste t pareado</t>
  </si>
  <si>
    <t>Kruskal-Wallis</t>
  </si>
  <si>
    <t>{'Não. Quando usamos de maneira errada um teste não pareado em dados que são pareados, normalmente perdemos informação importante da relação antes/depois do mesmo indivíduo. Isso tende a aumentar o p-value em relação ao teste pareado, porque o teste não pareado considera as amostras como independentes e ignora a relação entre as observações.No exercício Q3.b, o teste não pareado apresentou p-value maior do que o teste pareado. Portanto, ele não tende a gerar mais falsos positivos; ao contrário, tende a ser mais conservador, reduzindo o poder do teste e aumentando a chance de falso negativo.'}</t>
  </si>
  <si>
    <t>P1_Amanda_Carolina_Ambrizzi_Ramin_22.007210</t>
  </si>
  <si>
    <t>P1_Amanda_Carolina_Ambrizzi_Ramin_22.007210 p</t>
  </si>
  <si>
    <t>Shapiro-Wilk</t>
  </si>
  <si>
    <t>Levene</t>
  </si>
  <si>
    <t>t-test pareado</t>
  </si>
  <si>
    <t>P1_André_Felipe_Silva_Xavier_22.013393 (8)</t>
  </si>
  <si>
    <t>P1_André_Felipe_Silva_Xavier_22.013393 (8) p</t>
  </si>
  <si>
    <t>{'Quando se usa um teste não pareado para dados pareados de forma inadequada, é mais provável que obtenha falsos negativos.Isso acontece porque os testes não pareados não levam em conta as diferenças individuais, o que infla a variabilidade geral.Isso leva a valores p mais altos, dificultando a detecção de uma diferença real, mesmo que ela exista, ocasionando perda de poder estatístico.'}</t>
  </si>
  <si>
    <t>P1_André_Prino_21.004765</t>
  </si>
  <si>
    <t>Teste t-pareado</t>
  </si>
  <si>
    <t>{'Ao não parearmos, o teste produzirá mais falsos negativos, isso ocorre por motivos como os individuos não serem comparados com eles mesmos, gerando amostras enganosas e também assumi uma independência entre os grupos, assim gerando um erro padrão maior.'}</t>
  </si>
  <si>
    <t>P1_André_Renato_Almeida_Abreu_22.012559</t>
  </si>
  <si>
    <t>P1_André_Renato_Almeida_Abreu_22.012559 p</t>
  </si>
  <si>
    <t>Bartlett</t>
  </si>
  <si>
    <t>Teste t Pareado</t>
  </si>
  <si>
    <t>{'Não, a tendência é de gerar mais falsos negativos. Ao usar o teste não pareado, você ignora que é a mesma pessoa no "antes" e no "depois", e o modelo acaba tratando a diferença natural entre os funcionários como puro ruído. Esse ruído extra aumenta a variância da conta e joga o p-valor lá pra cima. Com um p-valor artificialmente alto, fica quase impossível quebrar a barreira dos 0,05 para rejeitar a hipótese nula. No fim, o teste fica cego e conclui que o treinamento não fez efeito, mascarando a realidade.'}</t>
  </si>
  <si>
    <t>P1_André_Solano_Ferreira_Rodrigues_Maiolini_19.020120</t>
  </si>
  <si>
    <t>P1_André_Solano_Ferreira_Rodrigues_Maiolini_19.020120 p</t>
  </si>
  <si>
    <t>T-Student Pareado (ttest_rel)</t>
  </si>
  <si>
    <t xml:space="preserve"> não</t>
  </si>
  <si>
    <t>mannwhitneyu</t>
  </si>
  <si>
    <t>kruskal</t>
  </si>
  <si>
    <t>{'Não. O teste pareado remove a variabilidade inerente a cada indivíduo, tornando-o mais sensível a detectar uma diferença real. Como observado, o p-valor do teste não pareado (0.0177) foi maior que o do teste pareado correspondente (0.0058). Ao utilizar erroneamente o teste não pareado, a variância não é devidamente controlada e o p-valor resultante tende a ser maior, o que dificulta a rejeição da hipótese nula. Isso diminui o poder do teste, levando a uma tendência de gerar mais falsos negativos (Erro do Tipo II), e não falsos positivos (Erro do Tipo I).'}</t>
  </si>
  <si>
    <t>P1_Arthur_Jin_Woo_Lee_22.015190 (16)</t>
  </si>
  <si>
    <t>Paired t-test</t>
  </si>
  <si>
    <t>Mann-Whitney U Test</t>
  </si>
  <si>
    <t>Kruskal-Wallis H Test</t>
  </si>
  <si>
    <t>{'Ao empregar erroneamente um teste não pareado em amostras pareadas, a tendência é de gerar mais falsos positivos. Uma vez que testes pareados consideram a dependência entre as observações "antes e depois", removendo a variabilidade individual e, consequentemente, reduzindo o erro padrão da diferença. Assim, o teste não pareado, por ignorar isso, não consegue isolar o efeito da intervenção da variabilidade de cada indivíduo. Isso resulta em um cálculo de p-valor menos preciso e muitas vezes a um p-valor menor do que o justificável, aumentando a chance de se declarar uma diferença significativa quando, é apenas resultado do acaso. Portanto , a taxa de erro Tipo I (falsos positivos) é inflacionada, pois o teste está superestimando a força da evidência contra a hipótese nula.'}</t>
  </si>
  <si>
    <t>P1_Breno_Amorim_Roman_20.003950 (1)</t>
  </si>
  <si>
    <t>P1_Breno_Amorim_Roman_20.003950 (1) p</t>
  </si>
  <si>
    <t>(np.float64(0.6087833660743744), 4)</t>
  </si>
  <si>
    <t>(np.float64(0.8204812290845087), 4)</t>
  </si>
  <si>
    <t>(np.float64(0.13922162999485826), 4)</t>
  </si>
  <si>
    <t>(np.float64(0.011569495148982404), 4)</t>
  </si>
  <si>
    <t>(np.float64(0.005784747574491202), 4)</t>
  </si>
  <si>
    <t>{'A tendência ao usar erroneamente um teste não pareado em amostras pareadas, na verdade, é gerar mais falso-negativos. O teste pareado remove a variabilidade intra-sujeito, tornando o teste mais sensível.O p_valor do teste pareado é menor que o não pareado, e um p_maior dificulta a rejeição de H0, ele mostra que estaríamos perdendo evidências do efeito e assim, produzindo mais falsos negativos.'}</t>
  </si>
  <si>
    <t>P1_Bruno_Giannini_Loffreda_21.001227</t>
  </si>
  <si>
    <t>P1_Bruno_Giannini_Loffreda_21.001227 p</t>
  </si>
  <si>
    <t>teste_exemplo</t>
  </si>
  <si>
    <t>{'Caso aplique-se um teste não pareado em amostras pareadas há sim uma tendência de geração de resultados falsos positivos maior. Isso se deve ao fato de não ser possível afirmar que um teste pareado ser inferido a partir de um teste não pareado.'}</t>
  </si>
  <si>
    <t>P1_Durval_Consorti_Soranz_de_Barros_Santos_22.010970</t>
  </si>
  <si>
    <t>P1_Durval_Consorti_Soranz_de_Barros_Santos_22.010970 p</t>
  </si>
  <si>
    <t>Teste t pareado</t>
  </si>
  <si>
    <t>{'Na verdade, ocorre o oposto: há um aumento na taxa de falsos negativos.Ao aplicar um teste não pareado em dados pareados, ignora-se a dependênciaentre as amostras, o que reduz o poder estatístico da análise. A variânciaindividual passa a ser tratada como erro residual, o que infla o p-valor(no exemplo da Q3.b, o valor subiu de 0,0058 no teste pareado para 0,0177 noindependente).Com o p-valor mais alto, reduz-se a probabilidade de rejeitar a hipótese nula.Consequentemente, aumenta-se a chance de cometer um erro do Tipo II(falso negativo) em vez de um falso positivo.'}</t>
  </si>
  <si>
    <t>P1_Enrico_Mota_Santarelli_22.003703</t>
  </si>
  <si>
    <t>P1_Enrico_Mota_Santarelli_22.003703 p</t>
  </si>
  <si>
    <t>{'Não. Como os dados do treinamento são pareados, o teste correto é o teste pareado. Ao usar um teste não pareado, ignoramos a relação entre as medidas antes e depois dos mesmos funcionários. Neste caso, o p-valor do teste não pareado fica maior do que o p-valor do teste pareado, reduzindo a força do teste. Por exemplo, para a redução original, o teste pareado tem p-value aproximadamente 0.0058, enquanto o teste não pareado tem p-value aproximadamente 0.0177. Assim, neste caso, o erro tende mais a perder evidência, podendo gerar falso negativo, e não mais falsos positivos.'}</t>
  </si>
  <si>
    <t>P1_Estevan_Feher_21.005869</t>
  </si>
  <si>
    <t>t de Student</t>
  </si>
  <si>
    <t>{'Escreva aqui a sua resposta (mantendo as aspas e demais elementos da célula)'}</t>
  </si>
  <si>
    <t>P1_Felipe_Kenzo_Ohara_Sakae_22.008152</t>
  </si>
  <si>
    <t>P1_Felipe_Kenzo_Ohara_Sakae_22.008152 p</t>
  </si>
  <si>
    <t>Teste t pareado (paired t-test)</t>
  </si>
  <si>
    <t>{'Não. A tendência é gerar mais FALSOS NEGATIVOS (erro tipo II), não falsos positivos. Comparando Q2.b (pareado, p=0.0058) com Q3.b (não pareado, p=0.0177), o p-valor do teste não pareado é MAIOR (menos significativo). Isso ocorre porque o teste pareado considera a correlação entre as medidas (cada funcionário é seu próprio controle) e remove a variabilidade individual, reduzindo o erro padrão. O teste não pareado ignora essa correlação e trata toda a variabilidade entre indivíduos como ruído, inflando o erro padrão e produzindo p-valores MAIORES. Portanto, usar teste não pareado em dados pareados perde POTÊNCIA estatística: aumenta a chance de não rejeitar H0 quando deveria (falso negativo), e não o contrário.'}</t>
  </si>
  <si>
    <t>P1_Fernando_Minharro_Alves_Gimenez_22.008330</t>
  </si>
  <si>
    <t>Teste de Shapiro</t>
  </si>
  <si>
    <t>Teste de Bartlett</t>
  </si>
  <si>
    <t>Teste t independente</t>
  </si>
  <si>
    <t>ANOVA</t>
  </si>
  <si>
    <t>{'Não, a tendência não é gerar mais falsos positivos, uma vez que ao empregar um teste não pareado em amostras pareadas,ignoramos a dependência natural entre as observações, resultando em uma estimativa maior da variabilidade, levando a p-values mais altos. Consequentemente, fica mais difícil rejeitar a hipótese nula, aumentando a probabilidade de falsos negativos (não detectar um efeito real que existe), em vez de falsos positivos.'}</t>
  </si>
  <si>
    <t>P1_Giuliano_Rodrigues_Tumoli_21.000360 (1)</t>
  </si>
  <si>
    <t>P1_Giuliano_Rodrigues_Tumoli_21.000360 (1) p</t>
  </si>
  <si>
    <t>paired t-test</t>
  </si>
  <si>
    <t>{'Não, a tendência é gerar mais falsos negativos, não positivos. Isso ocorre pois, no teste pareado, a variabilidade entre indivíduos é anulada quando se calcula a diferença par a par, reduzindo o erro padrão. Com um teste não pareado em amostras pareadas, essa variabilidade infla o erro padrão, resultando em p-valores maiores. No exercício Q3.b é possível notar isso, pois o p-valor do teste não pareado (0.0177) foi bem maior que o do pareado (0.0058).'}</t>
  </si>
  <si>
    <t>P1_Guilherme_Martins_Souza_Paula_22.000062</t>
  </si>
  <si>
    <t>P1_Guilherme_Martins_Souza_Paula_22.000062 p</t>
  </si>
  <si>
    <t>Teste T Pareado</t>
  </si>
  <si>
    <t>{'Não. A tendência é gerar mais falsos negativos (erro tipo II), não falsos positivos. Comparando Q2.b (pareado, p=0.0058) com Q3.b (não pareado, p=0.0177), o p-valor do teste não pareado é MAIOR (menos significativo). Isso ocorre porque o teste pareado considera a correlação entre as medidas (cada funcionário é seu próprio controle) e "tira"" a variabilidade individual, reduzindo o erro padrão. O teste não pareado ignora essa correlação e trata toda a variabilidade entre indivíduos como ruído, inflando o erro padrão e produzindo p-valores MAIORES. concluindo, usar teste não pareado em dados pareados perde POTÊNCIA estatística: aumenta a chance de não rejeitar H0 quando deveria (falso negativo), e não o contrário.'}</t>
  </si>
  <si>
    <t>P1_Guilherme_Thomasi_Ronca_22.005226</t>
  </si>
  <si>
    <t>{'Não, o uso de um teste não pareado em dados pareados positivamente correlacionados aumenta o p-valor, pois ignora a redução da variabilidade proporcionada pelo pareamento. Isso torna o teste menos sensível, aumentando o risco de falsos negativos (erro tipo II) em vez de falsos positivos.'}</t>
  </si>
  <si>
    <t>P1_João_Paulo_Bonagurio_Ramirez_22.012478</t>
  </si>
  <si>
    <t>P1_João_Paulo_Bonagurio_Ramirez_22.012478 p</t>
  </si>
  <si>
    <t>Não. A tendência é gerar mais falsos negativos. Ao ignorar o pareamento, a variância dos dados aumenta, o que eleva o p-valor. Isso torna o teste menos sensível, dificultando a rejeição da hipótese.</t>
  </si>
  <si>
    <t>P1_Leonardo_Fiorese_22.009523</t>
  </si>
  <si>
    <t>P1_Leonardo_Fiorese_22.009523 p</t>
  </si>
  <si>
    <t>T-Pareado</t>
  </si>
  <si>
    <t>{'Não. O teste correto é o pareado porque avaliamos os mesmos funcionários antes e depois. Usar um teste não pareado ignora a correlação e deixa a análise mais fraca. Com isso, tem um risco de ter um falso negativo, ou seja, acabar não detectando uma redução de tempo que realmente aconteceu.'}</t>
  </si>
  <si>
    <t>P1_Leonardo_Henrique_Dias_Moura_21.018375 (3)</t>
  </si>
  <si>
    <t>Mann-Whitney U test</t>
  </si>
  <si>
    <t>{'Podemos concluir que não, empregar erroneamente um teste não pareado em amostras pareadas não tem tendência gerar falsos positivos, e todo o propósito da questão 3b é provar isso. A questão 3b essencialmente é refazer a questão 2b, onde verificamos uma hipótese usando o teste correto, utilizando o teste errado, e quando comparamos de imediato é possível ver que a questão 3b não gerou um falso positivo, pois a conclusão que chegamos na questão 2b é igual a conclusão de 3b.'}</t>
  </si>
  <si>
    <t>Kruskal-Wallis H test</t>
  </si>
  <si>
    <t>P1_Leonardo_Roberto_Amadio_22.013008</t>
  </si>
  <si>
    <t>P1_Leonardo_Roberto_Amadio_22.013008 p</t>
  </si>
  <si>
    <t>Teste t pareado (Paired T-test)</t>
  </si>
  <si>
    <t>{'Não, a tendência é gerar mais falsos negativos. Quando tratamos as amostras como independentes, a variabilidade entre osdiferentes indivíduos é somada ao erro estatísitico, o que aumenta o denominador da estatísitca t, diminui o valor de t,consequentemente aumenta o p-value. Um alto p-value deixa mais difícil rejeitar a hipótese nula.'}</t>
  </si>
  <si>
    <t>P1_Leonardo_Tagliati_da_Silva_22.001700</t>
  </si>
  <si>
    <t>P1_Leonardo_Tagliati_da_Silva_22.001700 p</t>
  </si>
  <si>
    <t>Teste U de Mann-Whitney</t>
  </si>
  <si>
    <t>Teste H de Kruskal-Wallis</t>
  </si>
  <si>
    <t>{'Não.Empregar erroneamente um teste não pareado em amostras pareadas, especialmente quando há uma correlação positiva entre as medições ('}</t>
  </si>
  <si>
    <t>P1_Lucas_Castanho_Paganotto_Carvalho_22.009213 (3)</t>
  </si>
  <si>
    <t>levene</t>
  </si>
  <si>
    <t>ttest</t>
  </si>
  <si>
    <t>{' Não. Na verdade, tende a aumentar falsos negativos, pois ignora a correlação entre os pares, elevando o p-valor e dificultando a detecção de uma diferença real.'}</t>
  </si>
  <si>
    <t>P1_Lucas_Gozze_Crapino_22.006672</t>
  </si>
  <si>
    <t>P1_Lucas_Gozze_Crapino_22.006672 p</t>
  </si>
  <si>
    <t>{'Não. Ao utilizarmos um teste não pareado em amostras pareadas, ignoramos a correlação entre os pares (que normalmente reduz a variância do erro).Isso resulta em uma variância maior e, consequentemente, em um p-valor maior (como vimos no aumento do p-valor no teste não pareado em Q3.b). Com um p-valor maior, fica mais difícil rejeitar a hipótese nula. Portanto, a tendência é gerarmos MENOS falsos positivos (Erro Tipo I), porém corremos um risco muito maior de gerar falsos negativos (Erro Tipo II), indicando perda de poder estatístico no teste.'}</t>
  </si>
  <si>
    <t>P1_Lucas_Olivares_Borges_da_Silva_22.008896</t>
  </si>
  <si>
    <t>P1_Lucas_Olivares_Borges_da_Silva_22.008896 p</t>
  </si>
  <si>
    <t>Teste t de Student (Independente)</t>
  </si>
  <si>
    <t>ANOVA (Um fator)</t>
  </si>
  <si>
    <t>{'Não, a tendência é gerar menos falsos positivos (o teste torna-se mais conservador). Ao ignorar o pareamento, a variabilidade individual entre os sujeitos é tratada como erro aleatório, o que aumenta a variância do denominador da estatística t. Isso resulta em um valor t menor e, consequentemente, em p-valores maiores do que seriam obtidos com o teste pareado, dificultando a rejeição da hipótese nula.'}</t>
  </si>
  <si>
    <t>P1_Luis_Gustavo_Gonçalves_Machado_21.003220 (2)</t>
  </si>
  <si>
    <t>P1_Luis_Gustavo_Gonçalves_Machado_21.003220 (2) p</t>
  </si>
  <si>
    <t>Teste T pareado</t>
  </si>
  <si>
    <t>{'Não, o uso de um teste não pareado em dados pareados tende a gerar p-valores maiores (como observado na comparação entre Q2.b p=0.006 e Q3.b p=0.018).Isso ocorre porque o teste não pareado ignora a correlação entre as medidas e não remove a variabilidade individual dos sujeitos, resultando em maior erro residual e menor poder estatístico, o que favorece falsos negativos (erro tipo II) em vez de falsos positivos.'}</t>
  </si>
  <si>
    <t>P1_Murillo_Penha_Strina_22.007300</t>
  </si>
  <si>
    <t>P1_Murillo_Penha_Strina_22.007300 p</t>
  </si>
  <si>
    <t>{'Não. Gera mais falsos negativos. O p-valor não pareado (0.0177) foi maior que o pareado (0.0058), pois o teste não pareado infla o erro padrão, dificultando rejeitar H0.'}</t>
  </si>
  <si>
    <t>P1_Otto_Camargo_Kuchkaria_22.005714 (1)</t>
  </si>
  <si>
    <t>P1_Otto_Camargo_Kuchkaria_22.005714 (1) p</t>
  </si>
  <si>
    <t xml:space="preserve"> </t>
  </si>
  <si>
    <t>{'Não. Se aplicamos erroneamente um teste não pareado em amostras pareadas, a tendência é gerar menos rejeições de H0 e, portanto, mais falsos negativos (perda de poder), e não mais falsos positivos. No teste pareado, a variabilidade entre indivíduos é removida, pois analisa-se apenas a diferença intra-sujeito; assim, o erro padrão da diferença fica menor e o p-valor diminui. Já no teste não pareado, essa variabilidade entre sujeitos infla o erro padrão, aumentando o p-valor. Foi exatamente o que ocorreu em Q3.b: o mesmo conjunto de dados, tratado como pareado, produziu p = 0,0058 e, tratado como independente, produziu p = 0,0177. Embora ambos mantenham a mesma direção e conclusão para α = 0,05, observa-se claramente a perda de poder do teste não pareado. Em situações limítrofes, isso poderia fazer com que o teste não pareado deixasse de rejeitar H0 enquanto o teste pareado rejeitaria, configurando um falso negativo.'}</t>
  </si>
  <si>
    <t>P1_Pedro_Campos_Dec_22.007873 (1)</t>
  </si>
  <si>
    <t>P1_Pedro_Campos_Dec_22.007873 (1) p</t>
  </si>
  <si>
    <t>{'A tendência é gerar mais falsos negativos. O p-valor do teste não pareado da Q3 é maior em relação ao p-valor do teste da Q2, uma vez que o teste pareado consideraa correlação entre as medidas e remove a variabilidade individual, reduzindo o erro padrão. O teste não pareado ignora essa correlação e trata toda a variabilidade entre indivíduos como ruído, inflando o erro padrão e produzindo p-valores maiores, aumentando a chance de não rejeitar H0 quando deveria.'}</t>
  </si>
  <si>
    <t>P1_Rafael_Assanti_22.014640 (7)</t>
  </si>
  <si>
    <t>P1_Rafael_Assanti_22.014640 (7) p</t>
  </si>
  <si>
    <t>{'Se usarmos erroneamente um teste não pareado em amostras pareadas a tendência é NÃO gerarmos mais falsos positivos. A tendência é gerar mais falsos negativos. Isso ocorre porque em uma amostra pareada, o valor de p fica maior, assim dificultando rejeitar H0, deixando "passar" efeitos reais. Assim gerando mais falsos positivos'}</t>
  </si>
  <si>
    <t>P1_Rafael_Maciel_Bertani_21.006342</t>
  </si>
  <si>
    <t>P1_Rafael_Maciel_Bertani_21.006342 p</t>
  </si>
  <si>
    <t>Welch t-test</t>
  </si>
  <si>
    <t>One-way ANOVA</t>
  </si>
  <si>
    <t>{'Não, a tendência normalmente é gerar p-values maiores, tornando o teste mais conservador. Isso ocorre porque o teste pareado considera a correlação entre as observações antes/depois do mesmo indivíduo, reduzindo a variabilidade do experimento. Já o teste não pareado ignora essa relação e trata os grupos como independentes, aumentando a variância residual. Como consequência, aumentam as chances de falsos negativos, e não de falsos positivos.'}</t>
  </si>
  <si>
    <t>P1_Rodrigo_Fernandes_Faltz_21.016607</t>
  </si>
  <si>
    <t>P1_Rodrigo_Fernandes_Faltz_21.016607 p</t>
  </si>
  <si>
    <t>{'Escreva aqui a sua resposta (mantendo as aspas e demais elementos da célula)Não vamos gerar mais falsos positivos, a tendência é gerar mais falsos negativos. Testes pareados são mais sensíveis a falsos negativos. Um p-valor maior torna mais difícil de rejeitar a hipótese nula, e temos uma menor probabilidade de detectar uma diferença estatisticamente significativa quando ela realmente existe.'}</t>
  </si>
  <si>
    <t>P1_Rodrigo_Reis_Monasterios_Morales_22.014322 (2)</t>
  </si>
  <si>
    <t>P1_Rodrigo_Reis_Monasterios_Morales_22.014322 (2) p</t>
  </si>
  <si>
    <t>ttest_real</t>
  </si>
  <si>
    <t>{'Não. Como os dados do treinamento são pareados, o teste adequado é o teste pareado. Ao utilizar um teste não pareado, a relação entre as medições antes e depois dos mesmos funcionários é desconsiderada. Nesse caso, o p-valor obtido pelo teste não pareado tende a ser maior do que o do teste pareado, diminuindo o poder do teste. Por exemplo, para a redução original, o teste pareado apresenta p-value de aproximadamente 0,0058, enquanto o teste não pareado apresenta cerca de 0,0177. Portanto, o principal risco é perder evidências estatísticas relevantes, aumentando a chance de falso negativo, e não de falsos positivos.'}</t>
  </si>
  <si>
    <t>P1_Sergio_Guidi_Trovo_22.011285 (2)</t>
  </si>
  <si>
    <t>P1_Sergio_Guidi_Trovo_22.011285 (2) p</t>
  </si>
  <si>
    <t>{'Não. Como as observações do treinamento são dependentes, o procedimento adequado é utilizar um teste pareado. Ao aplicar um teste não pareado, a correspondência entre as medições realizadas antes e depois nos mesmos funcionários é desconsiderada. Como consequência, o p-valor obtido pelo teste não pareado tende a ser maior do que o do teste pareado, diminuindo a sensibilidade da análise. No exemplo da redução original, o teste pareado apresenta um p-valor de aproximadamente 0,0058, enquanto o não pareado resulta em cerca de 0,0177. Portanto, o principal risco nesse cenário é a perda de evidência estatística, aumentando a chance de falso negativo, e não de falsos positivos.'}</t>
  </si>
  <si>
    <t>P1_Tiago_Tadeu_de_Azevedo_22.008560</t>
  </si>
  <si>
    <t>P1_Tiago_Tadeu_de_Azevedo_22.008560 p</t>
  </si>
  <si>
    <t>{"Não, a tendência na verdade é gerarmos mais falsos negativos (Erro Tipo II). Quando ignoramos o pareamento, a variabilidade natural entre os indivíduos é incluída no erro estatístico do teste (o denominador do teste t aumenta). Com um erro maior, o valor da estatística t diminui e o p-valor aumenta. Isso torna o teste 'menos sensível', dificultando a detecção de uma diferença que realmente existe e fazendo com que não rejeitemos a hipótese nula quando deveríamos."}</t>
  </si>
  <si>
    <t>P1_Victor_Augusto_de_Gasperi_22.007652 (1)</t>
  </si>
  <si>
    <t>P1_Victor_Augusto_de_Gasperi_22.007652 (1) p</t>
  </si>
  <si>
    <t>Teste t de Student</t>
  </si>
  <si>
    <t>{'Não, a tendência não é gerar mais falsos positivos. Ao ignorar o pareamento, o teste não pareado trata a variabilidade entre os indivíduos como erro aleatório, o que geralmente resulta em uma variância combinada maior do quea variância das diferenças do teste pareado. Isso leva a uma estatística t menor e, consequentemente,a p-valores maiores. Portanto, a tendência é de aumentar os falsos negativos e não os falsos positivos.'}</t>
  </si>
  <si>
    <t>P1_Vinicius_Garcia_Imendes_Dechechi_22.015680 (2)</t>
  </si>
  <si>
    <t>P1_Vinicius_Garcia_Imendes_Dechechi_22.015680 (2) p</t>
  </si>
  <si>
    <t>P1_Matheus_Santos_Feitosa_20.006284</t>
  </si>
  <si>
    <t xml:space="preserve">Amanda Carolina Ambrizzi Ramin </t>
  </si>
  <si>
    <t>André Felipe Silva Xavier 22.0</t>
  </si>
  <si>
    <t xml:space="preserve">André Prino </t>
  </si>
  <si>
    <t xml:space="preserve">André Renato Almeida Abreu </t>
  </si>
  <si>
    <t xml:space="preserve">André Solano Ferreira Rodrigues Maiolini </t>
  </si>
  <si>
    <t>Arthur Jin Woo Lee 22.01</t>
  </si>
  <si>
    <t>Breno Amorim Roman 20.0</t>
  </si>
  <si>
    <t xml:space="preserve">Bruno Giannini Loffreda </t>
  </si>
  <si>
    <t xml:space="preserve">Durval Consorti Soranz de Barros Santos </t>
  </si>
  <si>
    <t xml:space="preserve">Enrico Mota Santarelli </t>
  </si>
  <si>
    <t xml:space="preserve">Estevan Feher </t>
  </si>
  <si>
    <t xml:space="preserve">Felipe Kenzo Ohara Sakae </t>
  </si>
  <si>
    <t xml:space="preserve">Fernando Minharro Alves Gimenez </t>
  </si>
  <si>
    <t>Giuliano Rodrigues Tumoli 21.0</t>
  </si>
  <si>
    <t xml:space="preserve">Guilherme Martins Souza Paula </t>
  </si>
  <si>
    <t xml:space="preserve">Guilherme Thomasi Ronca </t>
  </si>
  <si>
    <t xml:space="preserve">João Paulo Bonagurio Ramirez </t>
  </si>
  <si>
    <t xml:space="preserve">Leonardo Fiorese </t>
  </si>
  <si>
    <t>Leonardo Henrique Dias Moura 21.0</t>
  </si>
  <si>
    <t xml:space="preserve">Leonardo Roberto Amadio </t>
  </si>
  <si>
    <t xml:space="preserve">Leonardo Tagliati da Silva </t>
  </si>
  <si>
    <t>Lucas Castanho Paganotto Carvalho 22.0</t>
  </si>
  <si>
    <t xml:space="preserve">Lucas Gozze Crapino </t>
  </si>
  <si>
    <t xml:space="preserve">Lucas Olivares Borges da Silva </t>
  </si>
  <si>
    <t>Luis Gustavo Gonçalves Machado 21.0</t>
  </si>
  <si>
    <t xml:space="preserve">Murillo Penha Strina </t>
  </si>
  <si>
    <t>Otto Camargo Kuchkaria 22.0</t>
  </si>
  <si>
    <t>Pedro Campos Dec 22.0</t>
  </si>
  <si>
    <t>Rafael Assanti 22.0</t>
  </si>
  <si>
    <t xml:space="preserve">Rafael Maciel Bertani </t>
  </si>
  <si>
    <t xml:space="preserve">Rodrigo Fernandes Faltz </t>
  </si>
  <si>
    <t>Rodrigo Reis Monasterios Morales 22.0</t>
  </si>
  <si>
    <t>Sergio Guidi Trovo 22.0</t>
  </si>
  <si>
    <t xml:space="preserve">Tiago Tadeu de Azevedo </t>
  </si>
  <si>
    <t>Victor Augusto de Gasperi 22.0</t>
  </si>
  <si>
    <t>Vinicius Garcia Imendes Dechechi 22.0</t>
  </si>
  <si>
    <t>João Vitor Marques Ferrenha Cerqueira</t>
  </si>
  <si>
    <t>P2
Prática
(0-10)</t>
  </si>
  <si>
    <t>P2
Teoria
(0-3)</t>
  </si>
  <si>
    <t>Ex_3</t>
  </si>
  <si>
    <t>Ex3_1</t>
  </si>
  <si>
    <t>Ex3_2</t>
  </si>
  <si>
    <t>22.00721-0</t>
  </si>
  <si>
    <t>Andre Felipe Silva Xavier</t>
  </si>
  <si>
    <t>Andre Freire Prino</t>
  </si>
  <si>
    <t>22.01339-3</t>
  </si>
  <si>
    <t>Andre Renato Almeida Abreu</t>
  </si>
  <si>
    <t>21.00476-5</t>
  </si>
  <si>
    <t>Andre Solano Ferreira Rodrigues Maiolini</t>
  </si>
  <si>
    <t>22.01255-9</t>
  </si>
  <si>
    <t>22.01519-0</t>
  </si>
  <si>
    <t>20.00395-0</t>
  </si>
  <si>
    <t>21.00122-7</t>
  </si>
  <si>
    <t>Durval Consorti Soranz De Barros Santos</t>
  </si>
  <si>
    <t>22.01097-0</t>
  </si>
  <si>
    <t>22.00370-3</t>
  </si>
  <si>
    <t>Estevan Feher</t>
  </si>
  <si>
    <t>21.00586-9</t>
  </si>
  <si>
    <t>22.00815-2</t>
  </si>
  <si>
    <t>22.00833-0</t>
  </si>
  <si>
    <t>21.00036-0</t>
  </si>
  <si>
    <t>22.00006-2</t>
  </si>
  <si>
    <t>22.00522-6</t>
  </si>
  <si>
    <t>Joao Paulo Bonagurio Ramirez</t>
  </si>
  <si>
    <t>Joao Vitor Marques Ferrenha Cerqueira</t>
  </si>
  <si>
    <t>22.01247-8</t>
  </si>
  <si>
    <t>22.00952-3</t>
  </si>
  <si>
    <t>21.01837-5</t>
  </si>
  <si>
    <t>22.01300-8</t>
  </si>
  <si>
    <t>Leonardo Tagliati Da Silva</t>
  </si>
  <si>
    <t>22.00170-0</t>
  </si>
  <si>
    <t>Lucas Castanho Paganotto Carvalho</t>
  </si>
  <si>
    <t>22.00921-3</t>
  </si>
  <si>
    <t>22.00667-2</t>
  </si>
  <si>
    <t>Lucas Olivares Borges Da Silva</t>
  </si>
  <si>
    <t>22.00889-6</t>
  </si>
  <si>
    <t>Luis Gustavo Goncalves Machado</t>
  </si>
  <si>
    <t>Matheus Santos Feitosa</t>
  </si>
  <si>
    <t>20.00628-4</t>
  </si>
  <si>
    <t>22.00730-0</t>
  </si>
  <si>
    <t>22.00571-4</t>
  </si>
  <si>
    <t>22.00787-3</t>
  </si>
  <si>
    <t>22.01464-0</t>
  </si>
  <si>
    <t>21.00634-2</t>
  </si>
  <si>
    <t>21.01660-7</t>
  </si>
  <si>
    <t>22.01432-2</t>
  </si>
  <si>
    <t>Sergio Guidi Trovo</t>
  </si>
  <si>
    <t>22.01128-5</t>
  </si>
  <si>
    <t>Tiago Tadeu De Azevedo</t>
  </si>
  <si>
    <t>22.00856-0</t>
  </si>
  <si>
    <t>Victor Augusto De Gasperi</t>
  </si>
  <si>
    <t>22.00765-2</t>
  </si>
  <si>
    <t>22.01568-0</t>
  </si>
  <si>
    <t>nome</t>
  </si>
  <si>
    <t>Ex4 nome</t>
  </si>
  <si>
    <t>Ex3 nome</t>
  </si>
  <si>
    <t>Projeto EDA</t>
  </si>
  <si>
    <t>Projeto Séries Temporais</t>
  </si>
  <si>
    <t>Nome do aluno que efetua a entrega única:</t>
  </si>
  <si>
    <t>Link do GitHub do projeto:</t>
  </si>
  <si>
    <t>Nota</t>
  </si>
  <si>
    <t>Feedback</t>
  </si>
  <si>
    <t>1.5 pontos relevância das análises</t>
  </si>
  <si>
    <t>2.5 pontos para a seleção e emprego dos métodos aplicados </t>
  </si>
  <si>
    <t>1 Apresentação geral do trabalho</t>
  </si>
  <si>
    <t>https://github.com/Furlovers/projeto-dc-eda</t>
  </si>
  <si>
    <t xml:space="preserve">Parte I: Testes estatísticos pouco relevantes já que os valores são claramente distintos sem a necessidade de verificação da significância (por ex. 16,3% entre brancos, 24,8% entre pardos e 50,0% entre pretos). A relação com o censo 2022 não agrega pois apenas confirma dados de ambas pesquisas.
Parte II: Empregam dois ciclos que precisariam tratar em separado, antes e pós covid. Mas foi bom terem incluído a análise de lags, embora com resultados da mistura dos ciclos.
Apresentação: Vídeo bom, mas texto final sem qualquer imagem, é um pouco pobre. </t>
  </si>
  <si>
    <t>Racismo, censo IBGE; Selic e IPCA</t>
  </si>
  <si>
    <t>https://github.com/edfeherr/projeto-eda-democracia</t>
  </si>
  <si>
    <t xml:space="preserve">Parte I: Não encontrei nenhum teste estatístico nessas análises, embora a conclusão de escolaridade tenha sido relevante.
Parte II: Nesta parte foi pedido o uso de 2 outros indicadores, mas empregaram apenas a Selic. Além disso, o modelo ARIMA ocupou grande parte da análise, mas não fazia parte da atividade (embora pudesse ser incluída, deram um peso excessivo)
Apresentação: Vídeo bom, mas texto final sem qualquer imagem, é um pouco pobre. Típico de ferramentas de IA. </t>
  </si>
  <si>
    <t>Democracia, TSE; Selic</t>
  </si>
  <si>
    <t>https://github.com/rodrigo-faltz/IMT-CD202606-1/tree/main</t>
  </si>
  <si>
    <t xml:space="preserve">Parte I: O Teste de Mann-Whitney U, é aplicado sobre idade. Idade tem distribuição normal. A exploração gráfica, emprega apenas histogramas, com exceção da análise conjunta com dados do TSE. A parte II, por exemplo, é bastante melhor nesse ponto.
Parte II: Como muitos outros trabalhos, não identificaram a alteração de ciclo estrutural com a covid.
Apresentação: Vídeo bom, final ok.  </t>
  </si>
  <si>
    <t>Democracia, TSE; Selic e Dólar</t>
  </si>
  <si>
    <t>André Renato Almeida Abreu</t>
  </si>
  <si>
    <t>https://github.com/Tutzjwlee/Analise-Dados-Eleitorais</t>
  </si>
  <si>
    <t xml:space="preserve">Parte I: O Teste de correlação não pareceu adequado. São muitos poucous  dados para assumir os pressupostos de uma regressão. Um teste Chi2 seria mais adequado. 
Parte II: Como muitos outros trabalhos, não identificaram a alteração de ciclo estrutural com a covid. Empregaram 3 indicadores, o que foi ótimo, mas concentraram excessivamente a análise em um modelo de previsão que, embora pudesse ser incluído, não era o foco da atividade.
Apresentação: Vídeo bom, seções Introdução, Métodos e Conclusão, não é clara a seção "Métodos"  </t>
  </si>
  <si>
    <t>Democracia, TSE; Selic, Dólar, Desemprego</t>
  </si>
  <si>
    <t>https://github.com/IMT-CD-PAPA/IMT_CD_PROJETO_1</t>
  </si>
  <si>
    <t>Parte I: A análise de correlação não se mostrou significativa em quaisquer dos casos analisados... seria mesmo a melhor análise? Podiam ter explorado outros testes.
Parte II: Identificaram e discutiram o ciclo estrutural com a covid. O que foi ótimo, mas acho que não excluíram fazendo a análise de momentos separados. Empregaram 3 indicadores, ótimo também, mas concentraram excessivamente a análise em um modelo de previsão que, embora pudesse ser incluído, não era o foco da atividade. A análise de inadimplência pessoa Física x Jurídica, foi relevante.
Apresentação: Vídeo bom, seções Introdução, Métodos e Conclusão, não é clara a seção "Métodos". Precisariam criar um texto a parte.</t>
  </si>
  <si>
    <t>https://github.com/rontho14/Projeto-CD</t>
  </si>
  <si>
    <t>Parte I: Vejam a descrição da atividade. Havia 2 subprojetos. Aqui, basicamente, podemos considerar a entrega da Parte I, correlacionando a pesquisa de opinião à serie de IPCA... mas não há entrega da Parte II.
Não sei se isso foi uma opção do grupo, ou uma desatenção. Mas certamente foi claro haver duas partes do trabalho a ser entregue, não havendo dúvida em quaisquer dos demais grupos.
Nesta parte a análise é boa tendo empregado o teste Chi2 e Cramer, mas fica a questão de qual a validade e relevância de cruzar uma série temporal com um dado pontual de pesquisa de opinião?
Parte II: Não entregue.
Apresentação: Vídeo bom, mas seções Introdução, Métodos precisariam criar um texto a parte.</t>
  </si>
  <si>
    <t>Desigualdade, IPCA</t>
  </si>
  <si>
    <t>https://github.com/ciencia-dados-2026-01-romeo</t>
  </si>
  <si>
    <t>Parte I: Análise correta na escolha do Chi2 e seleção das perguntas. 
Parte II: Já aqui o notebook de EDA das séries parece até mesmo incompleto... há apenas 2 gráficos, um de linha e um de correlação das séries. 
Não há identificação dos ciclos estruturais nem de lags de defasagem nas correlações.
Apresentação: Vídeo bom, seção de Métodos precisaria ser discutida, não listada.</t>
  </si>
  <si>
    <t>Desigualdade, IBGE; SELIC, IPCA</t>
  </si>
  <si>
    <t>Média  
Exercícios</t>
  </si>
  <si>
    <t>Projeto</t>
  </si>
  <si>
    <t>Grupo
Projeto</t>
  </si>
  <si>
    <t>Turma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</si>
</sst>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1"/>
      <name val="Calibri"/>
      <family val="2"/>
    </font>
    <font>
      <sz val="11"/>
      <color rgb="FFFF0000"/>
      <name val="Calibri"/>
      <family val="2"/>
      <scheme val="minor"/>
    </font>
    <font>
      <b/>
      <sz val="11"/>
      <color theme="1"/>
      <name val="Calibri"/>
      <family val="2"/>
      <scheme val="minor"/>
    </font>
    <font>
      <b/>
      <sz val="11"/>
      <color rgb="FFFF0000"/>
      <name val="Calibri"/>
      <family val="2"/>
    </font>
    <font>
      <sz val="11"/>
      <name val="Calibri"/>
      <family val="2"/>
    </font>
    <font>
      <sz val="11"/>
      <color rgb="FFFF0000"/>
      <name val="Calibri"/>
      <family val="2"/>
    </font>
    <font>
      <b/>
      <sz val="11"/>
      <name val="Calibri"/>
    </font>
    <font>
      <b/>
      <sz val="11"/>
      <color theme="0" tint="-4.9989318521683403E-2"/>
      <name val="Calibri"/>
      <family val="2"/>
      <scheme val="minor"/>
    </font>
    <font>
      <sz val="11"/>
      <color theme="0" tint="-4.9989318521683403E-2"/>
      <name val="Calibri"/>
      <family val="2"/>
      <scheme val="minor"/>
    </font>
    <font>
      <sz val="16"/>
      <color theme="1"/>
      <name val="Calibri"/>
      <family val="2"/>
      <scheme val="minor"/>
    </font>
    <font>
      <b/>
      <sz val="12"/>
      <color rgb="FF1F2328"/>
      <name val="Segoe UI"/>
      <family val="2"/>
    </font>
    <font>
      <sz val="12"/>
      <color rgb="FF1F2328"/>
      <name val="Segoe UI"/>
      <family val="2"/>
    </font>
    <font>
      <b/>
      <sz val="11"/>
      <color theme="0" tint="-0.14999847407452621"/>
      <name val="Calibri"/>
      <family val="2"/>
      <scheme val="minor"/>
    </font>
    <font>
      <sz val="11"/>
      <color theme="0" tint="-0.14999847407452621"/>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4"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right/>
      <top/>
      <bottom style="thin">
        <color indexed="64"/>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2" borderId="1" xfId="0" applyFont="1" applyFill="1" applyBorder="1" applyAlignment="1">
      <alignment horizontal="center" vertical="top"/>
    </xf>
    <xf numFmtId="0" fontId="0" fillId="2" borderId="0" xfId="0" applyFill="1" applyAlignment="1">
      <alignment horizontal="center"/>
    </xf>
    <xf numFmtId="0" fontId="2" fillId="2" borderId="0" xfId="0" applyFont="1" applyFill="1" applyAlignment="1">
      <alignment horizontal="center"/>
    </xf>
    <xf numFmtId="0" fontId="2" fillId="0" borderId="0" xfId="0" applyFont="1"/>
    <xf numFmtId="0" fontId="4" fillId="2" borderId="0" xfId="0" applyFont="1" applyFill="1" applyAlignment="1">
      <alignment horizontal="center" vertical="top"/>
    </xf>
    <xf numFmtId="0" fontId="5" fillId="2" borderId="0" xfId="0" applyFont="1" applyFill="1" applyAlignment="1">
      <alignment horizontal="center" vertical="top"/>
    </xf>
    <xf numFmtId="0" fontId="6" fillId="2" borderId="0" xfId="0" applyFont="1" applyFill="1" applyAlignment="1">
      <alignment horizontal="center" vertical="top"/>
    </xf>
    <xf numFmtId="0" fontId="3" fillId="2" borderId="2" xfId="0" applyFont="1" applyFill="1" applyBorder="1" applyAlignment="1">
      <alignment horizontal="center"/>
    </xf>
    <xf numFmtId="164" fontId="1" fillId="3" borderId="1" xfId="0" applyNumberFormat="1" applyFont="1" applyFill="1" applyBorder="1" applyAlignment="1">
      <alignment horizontal="center" vertical="top"/>
    </xf>
    <xf numFmtId="164" fontId="0" fillId="3" borderId="0" xfId="0" applyNumberFormat="1" applyFill="1" applyAlignment="1">
      <alignment horizontal="center"/>
    </xf>
    <xf numFmtId="0" fontId="1" fillId="3" borderId="1" xfId="0" applyFont="1" applyFill="1" applyBorder="1" applyAlignment="1">
      <alignment horizontal="center" vertical="top"/>
    </xf>
    <xf numFmtId="0" fontId="0" fillId="3" borderId="0" xfId="0" applyFill="1" applyAlignment="1">
      <alignment horizontal="center"/>
    </xf>
    <xf numFmtId="0" fontId="0" fillId="0" borderId="0" xfId="0" applyAlignment="1">
      <alignment horizontal="left"/>
    </xf>
    <xf numFmtId="0" fontId="1" fillId="0" borderId="1" xfId="0" applyFont="1" applyBorder="1" applyAlignment="1">
      <alignment horizontal="left" vertical="top"/>
    </xf>
    <xf numFmtId="0" fontId="4" fillId="0" borderId="1" xfId="0" applyFont="1" applyBorder="1" applyAlignment="1">
      <alignment horizontal="left" vertical="top"/>
    </xf>
    <xf numFmtId="0" fontId="1" fillId="0" borderId="0" xfId="0" applyFont="1" applyAlignment="1">
      <alignment horizontal="left" vertical="top"/>
    </xf>
    <xf numFmtId="0" fontId="3" fillId="0" borderId="0" xfId="0" applyFont="1" applyAlignment="1">
      <alignment horizontal="left"/>
    </xf>
    <xf numFmtId="164" fontId="0" fillId="0" borderId="0" xfId="0" applyNumberFormat="1" applyAlignment="1">
      <alignment horizontal="center"/>
    </xf>
    <xf numFmtId="0" fontId="3" fillId="0" borderId="0" xfId="0" applyFont="1"/>
    <xf numFmtId="164" fontId="1" fillId="4" borderId="1" xfId="0" applyNumberFormat="1" applyFont="1" applyFill="1" applyBorder="1" applyAlignment="1">
      <alignment horizontal="center" vertical="top"/>
    </xf>
    <xf numFmtId="164" fontId="0" fillId="4" borderId="0" xfId="0" applyNumberFormat="1" applyFill="1" applyAlignment="1">
      <alignment horizontal="center"/>
    </xf>
    <xf numFmtId="0" fontId="1" fillId="0" borderId="0" xfId="0" applyFont="1" applyAlignment="1">
      <alignment horizontal="center" vertical="top"/>
    </xf>
    <xf numFmtId="0" fontId="0" fillId="0" borderId="1" xfId="0" applyBorder="1"/>
    <xf numFmtId="0" fontId="7" fillId="0" borderId="1" xfId="0" applyFont="1" applyBorder="1" applyAlignment="1">
      <alignment horizontal="center" vertical="top"/>
    </xf>
    <xf numFmtId="164" fontId="3" fillId="3" borderId="0" xfId="0" applyNumberFormat="1" applyFont="1" applyFill="1" applyAlignment="1">
      <alignment horizontal="center"/>
    </xf>
    <xf numFmtId="0" fontId="3" fillId="0" borderId="0" xfId="0" applyFont="1" applyAlignment="1">
      <alignment horizontal="center"/>
    </xf>
    <xf numFmtId="0" fontId="2" fillId="0" borderId="0" xfId="0" applyFont="1" applyAlignment="1">
      <alignment horizontal="center"/>
    </xf>
    <xf numFmtId="164" fontId="9" fillId="0" borderId="0" xfId="0" applyNumberFormat="1" applyFont="1" applyAlignment="1">
      <alignment horizontal="left"/>
    </xf>
    <xf numFmtId="0" fontId="9" fillId="0" borderId="0" xfId="0" applyFont="1" applyAlignment="1">
      <alignment horizontal="left"/>
    </xf>
    <xf numFmtId="0" fontId="11" fillId="0" borderId="0" xfId="0" applyFont="1"/>
    <xf numFmtId="0" fontId="11" fillId="0" borderId="0" xfId="0" applyFont="1" applyAlignment="1">
      <alignment horizontal="center"/>
    </xf>
    <xf numFmtId="164" fontId="11" fillId="0" borderId="0" xfId="0" applyNumberFormat="1" applyFont="1"/>
    <xf numFmtId="0" fontId="12" fillId="0" borderId="0" xfId="0" applyFont="1"/>
    <xf numFmtId="0" fontId="12" fillId="0" borderId="0" xfId="0" applyFont="1" applyAlignment="1">
      <alignment horizontal="center"/>
    </xf>
    <xf numFmtId="0" fontId="12" fillId="0" borderId="0" xfId="0" applyFont="1" applyAlignment="1">
      <alignment wrapText="1"/>
    </xf>
    <xf numFmtId="164" fontId="12" fillId="0" borderId="0" xfId="0" applyNumberFormat="1" applyFont="1"/>
    <xf numFmtId="164" fontId="0" fillId="0" borderId="0" xfId="0" applyNumberFormat="1"/>
    <xf numFmtId="1" fontId="9" fillId="0" borderId="0" xfId="0" applyNumberFormat="1" applyFont="1" applyAlignment="1">
      <alignment horizontal="center"/>
    </xf>
    <xf numFmtId="164" fontId="0" fillId="5" borderId="0" xfId="0" applyNumberFormat="1" applyFill="1" applyAlignment="1">
      <alignment horizontal="center"/>
    </xf>
    <xf numFmtId="0" fontId="3" fillId="0" borderId="3" xfId="0" applyFont="1" applyBorder="1"/>
    <xf numFmtId="164" fontId="3" fillId="0" borderId="3" xfId="0" applyNumberFormat="1" applyFont="1" applyBorder="1" applyAlignment="1">
      <alignment horizontal="center" wrapText="1"/>
    </xf>
    <xf numFmtId="164" fontId="3" fillId="5" borderId="3" xfId="0" applyNumberFormat="1" applyFont="1" applyFill="1" applyBorder="1" applyAlignment="1">
      <alignment horizontal="center" wrapText="1"/>
    </xf>
    <xf numFmtId="164" fontId="8" fillId="0" borderId="3" xfId="0" applyNumberFormat="1" applyFont="1" applyBorder="1" applyAlignment="1">
      <alignment horizontal="left"/>
    </xf>
    <xf numFmtId="164" fontId="3" fillId="0" borderId="3" xfId="0" applyNumberFormat="1" applyFont="1" applyBorder="1" applyAlignment="1">
      <alignment horizontal="center"/>
    </xf>
    <xf numFmtId="164" fontId="10" fillId="0" borderId="0" xfId="0" applyNumberFormat="1" applyFont="1" applyAlignment="1">
      <alignment horizontal="center"/>
    </xf>
    <xf numFmtId="0" fontId="13" fillId="0" borderId="3" xfId="0" applyFont="1" applyBorder="1" applyAlignment="1">
      <alignment horizontal="center"/>
    </xf>
    <xf numFmtId="0" fontId="14" fillId="0" borderId="0" xfId="0" applyFont="1" applyAlignment="1">
      <alignment horizontal="center"/>
    </xf>
    <xf numFmtId="1" fontId="8" fillId="0" borderId="3" xfId="0" applyNumberFormat="1"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github.com/rodrigo-faltz/IMT-CD202606-1/tree/main" TargetMode="External"/><Relationship Id="rId7" Type="http://schemas.openxmlformats.org/officeDocument/2006/relationships/hyperlink" Target="https://github.com/rontho14/Projeto-CD" TargetMode="External"/><Relationship Id="rId2" Type="http://schemas.openxmlformats.org/officeDocument/2006/relationships/hyperlink" Target="https://github.com/edfeherr/projeto-eda-democracia" TargetMode="External"/><Relationship Id="rId1" Type="http://schemas.openxmlformats.org/officeDocument/2006/relationships/hyperlink" Target="https://github.com/Furlovers/projeto-dc-eda" TargetMode="External"/><Relationship Id="rId6" Type="http://schemas.openxmlformats.org/officeDocument/2006/relationships/hyperlink" Target="https://github.com/ciencia-dados-2026-01-romeo" TargetMode="External"/><Relationship Id="rId5" Type="http://schemas.openxmlformats.org/officeDocument/2006/relationships/hyperlink" Target="https://github.com/IMT-CD-PAPA/IMT_CD_PROJETO_1" TargetMode="External"/><Relationship Id="rId4" Type="http://schemas.openxmlformats.org/officeDocument/2006/relationships/hyperlink" Target="https://github.com/Tutzjwlee/Analise-Dados-Eleitorai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ABAEC-290B-4B73-A7EB-5239F3B90360}">
  <dimension ref="A1:M39"/>
  <sheetViews>
    <sheetView tabSelected="1" zoomScale="78" zoomScaleNormal="78" workbookViewId="0">
      <selection activeCell="Q20" sqref="Q20"/>
    </sheetView>
  </sheetViews>
  <sheetFormatPr defaultRowHeight="15" x14ac:dyDescent="0.25"/>
  <cols>
    <col min="1" max="1" width="38.28515625" bestFit="1" customWidth="1"/>
    <col min="2" max="2" width="10" bestFit="1" customWidth="1"/>
    <col min="3" max="4" width="9.140625" style="20" customWidth="1"/>
    <col min="5" max="5" width="14.140625" style="20" customWidth="1"/>
    <col min="6" max="6" width="17.5703125" style="30" hidden="1" customWidth="1"/>
    <col min="7" max="7" width="9.140625" style="20" customWidth="1"/>
    <col min="8" max="8" width="19.140625" style="31" hidden="1" customWidth="1"/>
    <col min="9" max="9" width="10.85546875" style="20" customWidth="1"/>
    <col min="10" max="11" width="14.140625" style="20" customWidth="1"/>
    <col min="12" max="12" width="9.140625" style="40" hidden="1" customWidth="1"/>
    <col min="13" max="13" width="0" style="49" hidden="1" customWidth="1"/>
  </cols>
  <sheetData>
    <row r="1" spans="1:13" ht="60" x14ac:dyDescent="0.25">
      <c r="A1" s="42" t="s">
        <v>279</v>
      </c>
      <c r="B1" s="42" t="s">
        <v>280</v>
      </c>
      <c r="C1" s="43" t="s">
        <v>523</v>
      </c>
      <c r="D1" s="43" t="s">
        <v>524</v>
      </c>
      <c r="E1" s="44" t="s">
        <v>317</v>
      </c>
      <c r="F1" s="45" t="s">
        <v>581</v>
      </c>
      <c r="G1" s="46" t="s">
        <v>318</v>
      </c>
      <c r="H1" s="45" t="s">
        <v>580</v>
      </c>
      <c r="I1" s="43" t="s">
        <v>319</v>
      </c>
      <c r="J1" s="44" t="s">
        <v>612</v>
      </c>
      <c r="K1" s="44" t="s">
        <v>613</v>
      </c>
      <c r="L1" s="50" t="s">
        <v>614</v>
      </c>
      <c r="M1" s="48" t="s">
        <v>615</v>
      </c>
    </row>
    <row r="2" spans="1:13" x14ac:dyDescent="0.25">
      <c r="A2" t="s">
        <v>281</v>
      </c>
      <c r="B2">
        <v>22007210</v>
      </c>
      <c r="C2" s="20">
        <v>10</v>
      </c>
      <c r="D2" s="20">
        <v>2.5</v>
      </c>
      <c r="E2" s="41">
        <f>MIN(C2*0.8+D2,10)</f>
        <v>10</v>
      </c>
      <c r="F2" s="30" t="s">
        <v>281</v>
      </c>
      <c r="G2" s="20">
        <v>10</v>
      </c>
      <c r="H2" s="31" t="s">
        <v>486</v>
      </c>
      <c r="I2" s="20">
        <v>8</v>
      </c>
      <c r="J2" s="41">
        <f>(G2+I2)/2</f>
        <v>9</v>
      </c>
      <c r="K2" s="41">
        <v>8</v>
      </c>
      <c r="L2" s="40">
        <v>2</v>
      </c>
      <c r="M2" s="49">
        <v>2</v>
      </c>
    </row>
    <row r="3" spans="1:13" x14ac:dyDescent="0.25">
      <c r="A3" t="s">
        <v>306</v>
      </c>
      <c r="B3">
        <v>22013393</v>
      </c>
      <c r="C3" s="20">
        <v>5</v>
      </c>
      <c r="D3" s="20">
        <v>2.5</v>
      </c>
      <c r="E3" s="41">
        <f t="shared" ref="E3:E39" si="0">MIN(C3*0.8+D3,10)</f>
        <v>6.5</v>
      </c>
      <c r="F3" s="30" t="s">
        <v>529</v>
      </c>
      <c r="G3" s="20">
        <v>10</v>
      </c>
      <c r="H3" s="31" t="s">
        <v>487</v>
      </c>
      <c r="I3" s="20">
        <v>9</v>
      </c>
      <c r="J3" s="41">
        <f t="shared" ref="J3:J39" si="1">(G3+I3)/2</f>
        <v>9.5</v>
      </c>
      <c r="K3" s="41">
        <v>8</v>
      </c>
      <c r="L3" s="40">
        <v>2</v>
      </c>
      <c r="M3" s="49">
        <v>2</v>
      </c>
    </row>
    <row r="4" spans="1:13" x14ac:dyDescent="0.25">
      <c r="A4" t="s">
        <v>307</v>
      </c>
      <c r="B4">
        <v>21004765</v>
      </c>
      <c r="C4" s="20">
        <v>3.5</v>
      </c>
      <c r="D4" s="20">
        <v>0</v>
      </c>
      <c r="E4" s="41">
        <f t="shared" si="0"/>
        <v>2.8000000000000003</v>
      </c>
      <c r="F4" s="30" t="s">
        <v>530</v>
      </c>
      <c r="G4" s="20">
        <v>5</v>
      </c>
      <c r="H4" s="31" t="s">
        <v>488</v>
      </c>
      <c r="I4" s="20">
        <v>8</v>
      </c>
      <c r="J4" s="41">
        <f t="shared" si="1"/>
        <v>6.5</v>
      </c>
      <c r="K4" s="41">
        <v>4.5</v>
      </c>
      <c r="L4" s="40">
        <v>5</v>
      </c>
      <c r="M4" s="49">
        <v>2</v>
      </c>
    </row>
    <row r="5" spans="1:13" x14ac:dyDescent="0.25">
      <c r="A5" t="s">
        <v>282</v>
      </c>
      <c r="B5">
        <v>22012559</v>
      </c>
      <c r="C5" s="20">
        <v>3</v>
      </c>
      <c r="D5" s="20">
        <v>0</v>
      </c>
      <c r="E5" s="41">
        <f t="shared" si="0"/>
        <v>2.4000000000000004</v>
      </c>
      <c r="F5" s="30" t="s">
        <v>532</v>
      </c>
      <c r="G5" s="20">
        <v>10</v>
      </c>
      <c r="H5" s="31" t="s">
        <v>489</v>
      </c>
      <c r="I5" s="20">
        <v>10</v>
      </c>
      <c r="J5" s="41">
        <f t="shared" si="1"/>
        <v>10</v>
      </c>
      <c r="K5" s="41">
        <v>7.5</v>
      </c>
      <c r="L5" s="40">
        <v>3</v>
      </c>
      <c r="M5" s="49">
        <v>2</v>
      </c>
    </row>
    <row r="6" spans="1:13" x14ac:dyDescent="0.25">
      <c r="A6" t="s">
        <v>283</v>
      </c>
      <c r="B6">
        <v>19020120</v>
      </c>
      <c r="C6" s="20">
        <v>9.5</v>
      </c>
      <c r="D6" s="20">
        <v>2</v>
      </c>
      <c r="E6" s="41">
        <f t="shared" si="0"/>
        <v>9.6000000000000014</v>
      </c>
      <c r="F6" s="30" t="s">
        <v>534</v>
      </c>
      <c r="G6" s="20">
        <v>7</v>
      </c>
      <c r="H6" s="31" t="s">
        <v>490</v>
      </c>
      <c r="I6" s="20">
        <v>9</v>
      </c>
      <c r="J6" s="41">
        <f t="shared" si="1"/>
        <v>8</v>
      </c>
      <c r="K6" s="41">
        <v>6</v>
      </c>
      <c r="L6" s="40">
        <v>7</v>
      </c>
      <c r="M6" s="49">
        <v>2</v>
      </c>
    </row>
    <row r="7" spans="1:13" x14ac:dyDescent="0.25">
      <c r="A7" t="s">
        <v>284</v>
      </c>
      <c r="B7">
        <v>22015190</v>
      </c>
      <c r="C7" s="20">
        <v>5</v>
      </c>
      <c r="D7" s="20">
        <v>0.5</v>
      </c>
      <c r="E7" s="41">
        <f t="shared" si="0"/>
        <v>4.5</v>
      </c>
      <c r="F7" s="30" t="s">
        <v>284</v>
      </c>
      <c r="G7" s="20">
        <v>7</v>
      </c>
      <c r="H7" s="31" t="s">
        <v>491</v>
      </c>
      <c r="I7" s="20">
        <v>7</v>
      </c>
      <c r="J7" s="41">
        <f t="shared" si="1"/>
        <v>7</v>
      </c>
      <c r="K7" s="41">
        <v>7.5</v>
      </c>
      <c r="L7" s="40">
        <v>3</v>
      </c>
      <c r="M7" s="49">
        <v>2</v>
      </c>
    </row>
    <row r="8" spans="1:13" x14ac:dyDescent="0.25">
      <c r="A8" t="s">
        <v>285</v>
      </c>
      <c r="B8">
        <v>20003950</v>
      </c>
      <c r="C8" s="20">
        <v>9</v>
      </c>
      <c r="D8" s="20">
        <v>0.5</v>
      </c>
      <c r="E8" s="41">
        <f t="shared" si="0"/>
        <v>7.7</v>
      </c>
      <c r="F8" s="30" t="s">
        <v>285</v>
      </c>
      <c r="G8" s="20">
        <v>7</v>
      </c>
      <c r="H8" s="31" t="s">
        <v>492</v>
      </c>
      <c r="I8" s="20">
        <v>9</v>
      </c>
      <c r="J8" s="41">
        <f t="shared" si="1"/>
        <v>8</v>
      </c>
      <c r="K8" s="41">
        <v>8</v>
      </c>
      <c r="L8" s="40">
        <v>1</v>
      </c>
      <c r="M8" s="49">
        <v>1</v>
      </c>
    </row>
    <row r="9" spans="1:13" x14ac:dyDescent="0.25">
      <c r="A9" t="s">
        <v>308</v>
      </c>
      <c r="B9">
        <v>21001227</v>
      </c>
      <c r="C9" s="20">
        <v>5</v>
      </c>
      <c r="D9" s="20">
        <v>2</v>
      </c>
      <c r="E9" s="41">
        <f t="shared" si="0"/>
        <v>6</v>
      </c>
      <c r="F9" s="30" t="s">
        <v>308</v>
      </c>
      <c r="G9" s="20">
        <v>10</v>
      </c>
      <c r="H9" s="31" t="s">
        <v>493</v>
      </c>
      <c r="I9" s="20">
        <v>4</v>
      </c>
      <c r="J9" s="41">
        <f t="shared" si="1"/>
        <v>7</v>
      </c>
      <c r="K9" s="41">
        <v>8</v>
      </c>
      <c r="L9" s="40">
        <v>1</v>
      </c>
      <c r="M9" s="49">
        <v>1</v>
      </c>
    </row>
    <row r="10" spans="1:13" x14ac:dyDescent="0.25">
      <c r="A10" t="s">
        <v>309</v>
      </c>
      <c r="B10">
        <v>22010970</v>
      </c>
      <c r="C10" s="20">
        <v>7</v>
      </c>
      <c r="D10" s="20">
        <v>0</v>
      </c>
      <c r="E10" s="41">
        <f t="shared" si="0"/>
        <v>5.6000000000000005</v>
      </c>
      <c r="F10" s="30" t="s">
        <v>539</v>
      </c>
      <c r="G10" s="20">
        <v>0</v>
      </c>
      <c r="H10" s="31" t="s">
        <v>494</v>
      </c>
      <c r="I10" s="20">
        <v>9</v>
      </c>
      <c r="J10" s="41">
        <f t="shared" si="1"/>
        <v>4.5</v>
      </c>
      <c r="K10" s="41">
        <v>6</v>
      </c>
      <c r="L10" s="40">
        <v>7</v>
      </c>
      <c r="M10" s="49">
        <v>1</v>
      </c>
    </row>
    <row r="11" spans="1:13" x14ac:dyDescent="0.25">
      <c r="A11" t="s">
        <v>310</v>
      </c>
      <c r="B11">
        <v>22003703</v>
      </c>
      <c r="C11" s="20">
        <v>8</v>
      </c>
      <c r="D11" s="20">
        <v>0</v>
      </c>
      <c r="E11" s="41">
        <f t="shared" si="0"/>
        <v>6.4</v>
      </c>
      <c r="F11" s="30" t="s">
        <v>310</v>
      </c>
      <c r="G11" s="20">
        <v>10</v>
      </c>
      <c r="H11" s="31" t="s">
        <v>495</v>
      </c>
      <c r="I11" s="20">
        <v>8</v>
      </c>
      <c r="J11" s="41">
        <f t="shared" si="1"/>
        <v>9</v>
      </c>
      <c r="K11" s="41">
        <v>8</v>
      </c>
      <c r="L11" s="40">
        <v>1</v>
      </c>
      <c r="M11" s="49">
        <v>2</v>
      </c>
    </row>
    <row r="12" spans="1:13" x14ac:dyDescent="0.25">
      <c r="A12" t="s">
        <v>496</v>
      </c>
      <c r="B12">
        <v>21005869</v>
      </c>
      <c r="C12" s="20">
        <v>0</v>
      </c>
      <c r="D12" s="20">
        <v>0</v>
      </c>
      <c r="E12" s="41">
        <f t="shared" si="0"/>
        <v>0</v>
      </c>
      <c r="F12" s="30" t="s">
        <v>542</v>
      </c>
      <c r="G12" s="20">
        <v>10</v>
      </c>
      <c r="H12" s="31" t="s">
        <v>496</v>
      </c>
      <c r="I12" s="20">
        <v>3</v>
      </c>
      <c r="J12" s="41">
        <f t="shared" si="1"/>
        <v>6.5</v>
      </c>
      <c r="K12" s="41">
        <v>6</v>
      </c>
      <c r="L12" s="40">
        <v>7</v>
      </c>
      <c r="M12" s="49">
        <v>2</v>
      </c>
    </row>
    <row r="13" spans="1:13" x14ac:dyDescent="0.25">
      <c r="A13" t="s">
        <v>286</v>
      </c>
      <c r="B13">
        <v>22008152</v>
      </c>
      <c r="C13" s="20">
        <v>7.5</v>
      </c>
      <c r="D13" s="20">
        <v>0</v>
      </c>
      <c r="E13" s="41">
        <f t="shared" si="0"/>
        <v>6</v>
      </c>
      <c r="F13" s="30" t="s">
        <v>286</v>
      </c>
      <c r="G13" s="20">
        <v>0</v>
      </c>
      <c r="H13" s="31" t="s">
        <v>497</v>
      </c>
      <c r="I13" s="20">
        <v>8</v>
      </c>
      <c r="J13" s="41">
        <f t="shared" si="1"/>
        <v>4</v>
      </c>
      <c r="K13" s="41">
        <v>8.5</v>
      </c>
      <c r="L13" s="40">
        <v>4</v>
      </c>
      <c r="M13" s="49">
        <v>1</v>
      </c>
    </row>
    <row r="14" spans="1:13" x14ac:dyDescent="0.25">
      <c r="A14" t="s">
        <v>287</v>
      </c>
      <c r="B14">
        <v>22008330</v>
      </c>
      <c r="C14" s="20">
        <v>7</v>
      </c>
      <c r="D14" s="20">
        <v>1</v>
      </c>
      <c r="E14" s="41">
        <f t="shared" si="0"/>
        <v>6.6000000000000005</v>
      </c>
      <c r="F14" s="30" t="s">
        <v>287</v>
      </c>
      <c r="G14" s="20">
        <v>10</v>
      </c>
      <c r="H14" s="31" t="s">
        <v>498</v>
      </c>
      <c r="I14" s="20">
        <v>7</v>
      </c>
      <c r="J14" s="41">
        <f t="shared" si="1"/>
        <v>8.5</v>
      </c>
      <c r="K14" s="41">
        <v>7.5</v>
      </c>
      <c r="L14" s="40">
        <v>3</v>
      </c>
      <c r="M14" s="49">
        <v>1</v>
      </c>
    </row>
    <row r="15" spans="1:13" x14ac:dyDescent="0.25">
      <c r="A15" t="s">
        <v>288</v>
      </c>
      <c r="B15">
        <v>21000360</v>
      </c>
      <c r="C15" s="20">
        <v>2.5</v>
      </c>
      <c r="D15" s="20">
        <v>0</v>
      </c>
      <c r="E15" s="41">
        <f t="shared" si="0"/>
        <v>2</v>
      </c>
      <c r="F15" s="30" t="s">
        <v>288</v>
      </c>
      <c r="G15" s="20">
        <v>7</v>
      </c>
      <c r="H15" s="31" t="s">
        <v>499</v>
      </c>
      <c r="I15" s="20">
        <v>9</v>
      </c>
      <c r="J15" s="41">
        <f t="shared" si="1"/>
        <v>8</v>
      </c>
      <c r="K15" s="41">
        <v>4.5</v>
      </c>
      <c r="L15" s="40">
        <v>5</v>
      </c>
      <c r="M15" s="49">
        <v>2</v>
      </c>
    </row>
    <row r="16" spans="1:13" x14ac:dyDescent="0.25">
      <c r="A16" t="s">
        <v>289</v>
      </c>
      <c r="B16">
        <v>22000062</v>
      </c>
      <c r="C16" s="20">
        <v>9</v>
      </c>
      <c r="D16" s="20">
        <v>2</v>
      </c>
      <c r="E16" s="41">
        <f t="shared" si="0"/>
        <v>9.1999999999999993</v>
      </c>
      <c r="F16" s="30" t="s">
        <v>289</v>
      </c>
      <c r="G16" s="20">
        <v>10</v>
      </c>
      <c r="H16" s="31" t="s">
        <v>500</v>
      </c>
      <c r="I16" s="20">
        <v>8</v>
      </c>
      <c r="J16" s="41">
        <f t="shared" si="1"/>
        <v>9</v>
      </c>
      <c r="K16" s="41">
        <v>8.5</v>
      </c>
      <c r="L16" s="40">
        <v>4</v>
      </c>
      <c r="M16" s="49">
        <v>1</v>
      </c>
    </row>
    <row r="17" spans="1:13" x14ac:dyDescent="0.25">
      <c r="A17" t="s">
        <v>290</v>
      </c>
      <c r="B17">
        <v>22005226</v>
      </c>
      <c r="C17" s="20">
        <v>6.5</v>
      </c>
      <c r="D17" s="20">
        <v>0</v>
      </c>
      <c r="E17" s="41">
        <f t="shared" si="0"/>
        <v>5.2</v>
      </c>
      <c r="F17" s="30" t="s">
        <v>290</v>
      </c>
      <c r="G17" s="20">
        <v>5</v>
      </c>
      <c r="H17" s="31" t="s">
        <v>501</v>
      </c>
      <c r="I17" s="20">
        <v>8</v>
      </c>
      <c r="J17" s="41">
        <f t="shared" si="1"/>
        <v>6.5</v>
      </c>
      <c r="K17" s="41">
        <v>4.5</v>
      </c>
      <c r="L17" s="40">
        <v>5</v>
      </c>
      <c r="M17" s="49">
        <v>2</v>
      </c>
    </row>
    <row r="18" spans="1:13" x14ac:dyDescent="0.25">
      <c r="A18" t="s">
        <v>291</v>
      </c>
      <c r="B18">
        <v>22012478</v>
      </c>
      <c r="C18" s="20">
        <v>5.5</v>
      </c>
      <c r="D18" s="20">
        <v>0</v>
      </c>
      <c r="E18" s="41">
        <f t="shared" si="0"/>
        <v>4.4000000000000004</v>
      </c>
      <c r="F18" s="30" t="s">
        <v>549</v>
      </c>
      <c r="G18" s="20">
        <v>5</v>
      </c>
      <c r="H18" s="31" t="s">
        <v>502</v>
      </c>
      <c r="I18" s="20">
        <v>9</v>
      </c>
      <c r="J18" s="41">
        <f t="shared" si="1"/>
        <v>7</v>
      </c>
      <c r="K18" s="41">
        <v>6.5</v>
      </c>
      <c r="L18" s="40">
        <v>6</v>
      </c>
      <c r="M18" s="49">
        <v>1</v>
      </c>
    </row>
    <row r="19" spans="1:13" x14ac:dyDescent="0.25">
      <c r="A19" t="s">
        <v>522</v>
      </c>
      <c r="B19">
        <v>22000852</v>
      </c>
      <c r="C19" s="20">
        <v>0</v>
      </c>
      <c r="D19" s="20">
        <v>0</v>
      </c>
      <c r="E19" s="41">
        <f t="shared" si="0"/>
        <v>0</v>
      </c>
      <c r="F19" s="30" t="s">
        <v>550</v>
      </c>
      <c r="G19" s="20">
        <v>0</v>
      </c>
      <c r="I19" s="20">
        <v>0</v>
      </c>
      <c r="J19" s="41">
        <f t="shared" si="1"/>
        <v>0</v>
      </c>
      <c r="K19" s="41">
        <v>4.5</v>
      </c>
      <c r="L19" s="40">
        <v>5</v>
      </c>
      <c r="M19" s="49">
        <v>2</v>
      </c>
    </row>
    <row r="20" spans="1:13" x14ac:dyDescent="0.25">
      <c r="A20" t="s">
        <v>311</v>
      </c>
      <c r="B20">
        <v>22009523</v>
      </c>
      <c r="C20" s="20">
        <v>6.5</v>
      </c>
      <c r="D20" s="20">
        <v>0</v>
      </c>
      <c r="E20" s="41">
        <f t="shared" si="0"/>
        <v>5.2</v>
      </c>
      <c r="F20" s="30" t="s">
        <v>311</v>
      </c>
      <c r="G20" s="20">
        <v>10</v>
      </c>
      <c r="H20" s="31" t="s">
        <v>503</v>
      </c>
      <c r="I20" s="20">
        <v>8</v>
      </c>
      <c r="J20" s="41">
        <f t="shared" si="1"/>
        <v>9</v>
      </c>
      <c r="K20" s="41">
        <v>8</v>
      </c>
      <c r="L20" s="40">
        <v>1</v>
      </c>
      <c r="M20" s="49">
        <v>2</v>
      </c>
    </row>
    <row r="21" spans="1:13" x14ac:dyDescent="0.25">
      <c r="A21" t="s">
        <v>312</v>
      </c>
      <c r="B21">
        <v>21018375</v>
      </c>
      <c r="C21" s="20">
        <v>4.5</v>
      </c>
      <c r="D21" s="20">
        <v>0</v>
      </c>
      <c r="E21" s="41">
        <f t="shared" si="0"/>
        <v>3.6</v>
      </c>
      <c r="F21" s="30" t="s">
        <v>312</v>
      </c>
      <c r="G21" s="20">
        <v>10</v>
      </c>
      <c r="H21" s="31" t="s">
        <v>504</v>
      </c>
      <c r="I21" s="20">
        <v>8</v>
      </c>
      <c r="J21" s="41">
        <f t="shared" si="1"/>
        <v>9</v>
      </c>
      <c r="K21" s="41">
        <v>7.5</v>
      </c>
      <c r="L21" s="40">
        <v>3</v>
      </c>
      <c r="M21" s="49">
        <v>2</v>
      </c>
    </row>
    <row r="22" spans="1:13" x14ac:dyDescent="0.25">
      <c r="A22" t="s">
        <v>292</v>
      </c>
      <c r="B22">
        <v>22013008</v>
      </c>
      <c r="C22" s="20">
        <v>9</v>
      </c>
      <c r="D22" s="20">
        <v>2</v>
      </c>
      <c r="E22" s="41">
        <f t="shared" si="0"/>
        <v>9.1999999999999993</v>
      </c>
      <c r="F22" s="30" t="s">
        <v>292</v>
      </c>
      <c r="G22" s="20">
        <v>10</v>
      </c>
      <c r="H22" s="31" t="s">
        <v>505</v>
      </c>
      <c r="I22" s="20">
        <v>9</v>
      </c>
      <c r="J22" s="41">
        <f t="shared" si="1"/>
        <v>9.5</v>
      </c>
      <c r="K22" s="41">
        <v>6</v>
      </c>
      <c r="L22" s="40">
        <v>7</v>
      </c>
      <c r="M22" s="49">
        <v>2</v>
      </c>
    </row>
    <row r="23" spans="1:13" x14ac:dyDescent="0.25">
      <c r="A23" t="s">
        <v>293</v>
      </c>
      <c r="B23">
        <v>22001700</v>
      </c>
      <c r="C23" s="20">
        <v>9</v>
      </c>
      <c r="D23" s="20">
        <v>0</v>
      </c>
      <c r="E23" s="41">
        <f t="shared" si="0"/>
        <v>7.2</v>
      </c>
      <c r="F23" s="30" t="s">
        <v>555</v>
      </c>
      <c r="G23" s="20">
        <v>0</v>
      </c>
      <c r="H23" s="31" t="s">
        <v>506</v>
      </c>
      <c r="I23" s="20">
        <v>8</v>
      </c>
      <c r="J23" s="41">
        <f t="shared" si="1"/>
        <v>4</v>
      </c>
      <c r="K23" s="41">
        <v>7.5</v>
      </c>
      <c r="L23" s="40">
        <v>3</v>
      </c>
      <c r="M23" s="49">
        <v>2</v>
      </c>
    </row>
    <row r="24" spans="1:13" x14ac:dyDescent="0.25">
      <c r="A24" t="s">
        <v>313</v>
      </c>
      <c r="B24">
        <v>22009213</v>
      </c>
      <c r="C24" s="20">
        <v>5.5</v>
      </c>
      <c r="D24" s="20">
        <v>1</v>
      </c>
      <c r="E24" s="41">
        <f t="shared" si="0"/>
        <v>5.4</v>
      </c>
      <c r="F24" s="30" t="s">
        <v>557</v>
      </c>
      <c r="G24" s="20">
        <v>10</v>
      </c>
      <c r="H24" s="31" t="s">
        <v>507</v>
      </c>
      <c r="I24" s="20">
        <v>4</v>
      </c>
      <c r="J24" s="41">
        <f t="shared" si="1"/>
        <v>7</v>
      </c>
      <c r="K24" s="41">
        <v>6</v>
      </c>
      <c r="L24" s="40">
        <v>7</v>
      </c>
      <c r="M24" s="49">
        <v>1</v>
      </c>
    </row>
    <row r="25" spans="1:13" x14ac:dyDescent="0.25">
      <c r="A25" t="s">
        <v>294</v>
      </c>
      <c r="B25">
        <v>22006672</v>
      </c>
      <c r="C25" s="20">
        <v>7.5</v>
      </c>
      <c r="D25" s="20">
        <v>1.5</v>
      </c>
      <c r="E25" s="41">
        <f t="shared" si="0"/>
        <v>7.5</v>
      </c>
      <c r="F25" s="30" t="s">
        <v>294</v>
      </c>
      <c r="G25" s="20">
        <v>10</v>
      </c>
      <c r="H25" s="31" t="s">
        <v>508</v>
      </c>
      <c r="I25" s="20">
        <v>9</v>
      </c>
      <c r="J25" s="41">
        <f t="shared" si="1"/>
        <v>9.5</v>
      </c>
      <c r="K25" s="41">
        <v>8.5</v>
      </c>
      <c r="L25" s="40">
        <v>4</v>
      </c>
      <c r="M25" s="49">
        <v>1</v>
      </c>
    </row>
    <row r="26" spans="1:13" x14ac:dyDescent="0.25">
      <c r="A26" t="s">
        <v>295</v>
      </c>
      <c r="B26">
        <v>22008896</v>
      </c>
      <c r="C26" s="20">
        <v>7.5</v>
      </c>
      <c r="D26" s="20">
        <v>0</v>
      </c>
      <c r="E26" s="41">
        <f t="shared" si="0"/>
        <v>6</v>
      </c>
      <c r="F26" s="30" t="s">
        <v>560</v>
      </c>
      <c r="G26" s="20">
        <v>5</v>
      </c>
      <c r="H26" s="31" t="s">
        <v>509</v>
      </c>
      <c r="I26" s="20">
        <v>6</v>
      </c>
      <c r="J26" s="41">
        <f t="shared" si="1"/>
        <v>5.5</v>
      </c>
      <c r="K26" s="41">
        <v>6.5</v>
      </c>
      <c r="L26" s="40">
        <v>6</v>
      </c>
      <c r="M26" s="49">
        <v>1</v>
      </c>
    </row>
    <row r="27" spans="1:13" x14ac:dyDescent="0.25">
      <c r="A27" t="s">
        <v>296</v>
      </c>
      <c r="B27">
        <v>21003220</v>
      </c>
      <c r="C27" s="20">
        <v>4</v>
      </c>
      <c r="D27" s="20">
        <v>0</v>
      </c>
      <c r="E27" s="41">
        <f t="shared" si="0"/>
        <v>3.2</v>
      </c>
      <c r="F27" s="30" t="s">
        <v>562</v>
      </c>
      <c r="G27" s="20">
        <v>7</v>
      </c>
      <c r="H27" s="31" t="s">
        <v>510</v>
      </c>
      <c r="I27" s="20">
        <v>9</v>
      </c>
      <c r="J27" s="41">
        <f t="shared" si="1"/>
        <v>8</v>
      </c>
      <c r="K27" s="41">
        <v>6.5</v>
      </c>
      <c r="L27" s="40">
        <v>6</v>
      </c>
      <c r="M27" s="49">
        <v>2</v>
      </c>
    </row>
    <row r="28" spans="1:13" x14ac:dyDescent="0.25">
      <c r="A28" t="s">
        <v>297</v>
      </c>
      <c r="B28">
        <v>20006284</v>
      </c>
      <c r="C28" s="20">
        <v>6</v>
      </c>
      <c r="D28" s="20">
        <v>0</v>
      </c>
      <c r="E28" s="41">
        <f t="shared" si="0"/>
        <v>4.8000000000000007</v>
      </c>
      <c r="F28" s="30" t="s">
        <v>563</v>
      </c>
      <c r="G28" s="20">
        <v>0</v>
      </c>
      <c r="H28" s="31" t="s">
        <v>297</v>
      </c>
      <c r="I28" s="20">
        <v>10</v>
      </c>
      <c r="J28" s="41">
        <f t="shared" si="1"/>
        <v>5</v>
      </c>
      <c r="K28" s="41">
        <v>4.5</v>
      </c>
      <c r="L28" s="40">
        <v>5</v>
      </c>
      <c r="M28" s="49">
        <v>2</v>
      </c>
    </row>
    <row r="29" spans="1:13" x14ac:dyDescent="0.25">
      <c r="A29" t="s">
        <v>298</v>
      </c>
      <c r="B29">
        <v>22007300</v>
      </c>
      <c r="C29" s="20">
        <v>7</v>
      </c>
      <c r="D29" s="20">
        <v>0</v>
      </c>
      <c r="E29" s="41">
        <f t="shared" si="0"/>
        <v>5.6000000000000005</v>
      </c>
      <c r="F29" s="30" t="s">
        <v>298</v>
      </c>
      <c r="G29" s="20">
        <v>0</v>
      </c>
      <c r="H29" s="31" t="s">
        <v>511</v>
      </c>
      <c r="I29" s="20">
        <v>9</v>
      </c>
      <c r="J29" s="41">
        <f t="shared" si="1"/>
        <v>4.5</v>
      </c>
      <c r="K29" s="41">
        <v>8.5</v>
      </c>
      <c r="L29" s="40">
        <v>4</v>
      </c>
      <c r="M29" s="49">
        <v>1</v>
      </c>
    </row>
    <row r="30" spans="1:13" x14ac:dyDescent="0.25">
      <c r="A30" t="s">
        <v>299</v>
      </c>
      <c r="B30">
        <v>22005714</v>
      </c>
      <c r="C30" s="20">
        <v>7.5</v>
      </c>
      <c r="D30" s="20">
        <v>0</v>
      </c>
      <c r="E30" s="41">
        <f t="shared" si="0"/>
        <v>6</v>
      </c>
      <c r="F30" s="30" t="s">
        <v>299</v>
      </c>
      <c r="G30" s="20">
        <v>10</v>
      </c>
      <c r="H30" s="31" t="s">
        <v>512</v>
      </c>
      <c r="I30" s="20">
        <v>8</v>
      </c>
      <c r="J30" s="41">
        <f t="shared" si="1"/>
        <v>9</v>
      </c>
      <c r="K30" s="41">
        <v>8</v>
      </c>
      <c r="L30" s="40">
        <v>2</v>
      </c>
      <c r="M30" s="49">
        <v>2</v>
      </c>
    </row>
    <row r="31" spans="1:13" x14ac:dyDescent="0.25">
      <c r="A31" t="s">
        <v>314</v>
      </c>
      <c r="B31">
        <v>22007873</v>
      </c>
      <c r="C31" s="20">
        <v>7</v>
      </c>
      <c r="D31" s="20">
        <v>0.5</v>
      </c>
      <c r="E31" s="41">
        <f t="shared" si="0"/>
        <v>6.1000000000000005</v>
      </c>
      <c r="F31" s="30" t="s">
        <v>314</v>
      </c>
      <c r="G31" s="20">
        <v>10</v>
      </c>
      <c r="H31" s="31" t="s">
        <v>513</v>
      </c>
      <c r="I31" s="20">
        <v>6</v>
      </c>
      <c r="J31" s="41">
        <f t="shared" si="1"/>
        <v>8</v>
      </c>
      <c r="K31" s="41">
        <v>8.5</v>
      </c>
      <c r="L31" s="40">
        <v>4</v>
      </c>
      <c r="M31" s="49">
        <v>1</v>
      </c>
    </row>
    <row r="32" spans="1:13" x14ac:dyDescent="0.25">
      <c r="A32" t="s">
        <v>300</v>
      </c>
      <c r="B32">
        <v>22014640</v>
      </c>
      <c r="C32" s="20">
        <v>7.5</v>
      </c>
      <c r="D32" s="20">
        <v>0</v>
      </c>
      <c r="E32" s="41">
        <f t="shared" si="0"/>
        <v>6</v>
      </c>
      <c r="F32" s="30" t="s">
        <v>300</v>
      </c>
      <c r="G32" s="20">
        <v>10</v>
      </c>
      <c r="H32" s="31" t="s">
        <v>514</v>
      </c>
      <c r="I32" s="20">
        <v>9</v>
      </c>
      <c r="J32" s="41">
        <f t="shared" si="1"/>
        <v>9.5</v>
      </c>
      <c r="K32" s="41">
        <v>8</v>
      </c>
      <c r="L32" s="40">
        <v>2</v>
      </c>
      <c r="M32" s="49">
        <v>2</v>
      </c>
    </row>
    <row r="33" spans="1:13" x14ac:dyDescent="0.25">
      <c r="A33" t="s">
        <v>301</v>
      </c>
      <c r="B33">
        <v>21006342</v>
      </c>
      <c r="C33" s="20">
        <v>7.5</v>
      </c>
      <c r="D33" s="20">
        <v>0.5</v>
      </c>
      <c r="E33" s="41">
        <f t="shared" si="0"/>
        <v>6.5</v>
      </c>
      <c r="F33" s="30" t="s">
        <v>301</v>
      </c>
      <c r="G33" s="20">
        <v>10</v>
      </c>
      <c r="H33" s="31" t="s">
        <v>515</v>
      </c>
      <c r="I33" s="20">
        <v>4</v>
      </c>
      <c r="J33" s="41">
        <f t="shared" si="1"/>
        <v>7</v>
      </c>
      <c r="K33" s="41">
        <v>4.5</v>
      </c>
      <c r="L33" s="40">
        <v>5</v>
      </c>
      <c r="M33" s="49">
        <v>2</v>
      </c>
    </row>
    <row r="34" spans="1:13" x14ac:dyDescent="0.25">
      <c r="A34" t="s">
        <v>315</v>
      </c>
      <c r="B34">
        <v>21016607</v>
      </c>
      <c r="C34" s="20">
        <v>7</v>
      </c>
      <c r="D34" s="20">
        <v>0</v>
      </c>
      <c r="E34" s="41">
        <f t="shared" si="0"/>
        <v>5.6000000000000005</v>
      </c>
      <c r="F34" s="30" t="s">
        <v>315</v>
      </c>
      <c r="G34" s="20">
        <v>10</v>
      </c>
      <c r="H34" s="31" t="s">
        <v>516</v>
      </c>
      <c r="I34" s="20">
        <v>9</v>
      </c>
      <c r="J34" s="41">
        <f t="shared" si="1"/>
        <v>9.5</v>
      </c>
      <c r="K34" s="41">
        <v>8</v>
      </c>
      <c r="L34" s="40">
        <v>2</v>
      </c>
      <c r="M34" s="49">
        <v>2</v>
      </c>
    </row>
    <row r="35" spans="1:13" x14ac:dyDescent="0.25">
      <c r="A35" t="s">
        <v>302</v>
      </c>
      <c r="B35">
        <v>22014322</v>
      </c>
      <c r="C35" s="20">
        <v>2</v>
      </c>
      <c r="D35" s="20">
        <v>0</v>
      </c>
      <c r="E35" s="41">
        <f t="shared" si="0"/>
        <v>1.6</v>
      </c>
      <c r="F35" s="30" t="s">
        <v>302</v>
      </c>
      <c r="G35" s="20">
        <v>10</v>
      </c>
      <c r="H35" s="31" t="s">
        <v>517</v>
      </c>
      <c r="I35" s="20">
        <v>7</v>
      </c>
      <c r="J35" s="41">
        <f t="shared" si="1"/>
        <v>8.5</v>
      </c>
      <c r="K35" s="41">
        <v>8</v>
      </c>
      <c r="L35" s="40">
        <v>1</v>
      </c>
      <c r="M35" s="49">
        <v>2</v>
      </c>
    </row>
    <row r="36" spans="1:13" x14ac:dyDescent="0.25">
      <c r="A36" t="s">
        <v>316</v>
      </c>
      <c r="B36">
        <v>22011285</v>
      </c>
      <c r="C36" s="20">
        <v>1.5</v>
      </c>
      <c r="D36" s="20">
        <v>0</v>
      </c>
      <c r="E36" s="41">
        <f t="shared" si="0"/>
        <v>1.2000000000000002</v>
      </c>
      <c r="F36" s="30" t="s">
        <v>572</v>
      </c>
      <c r="G36" s="20">
        <v>10</v>
      </c>
      <c r="H36" s="31" t="s">
        <v>518</v>
      </c>
      <c r="I36" s="20">
        <v>8</v>
      </c>
      <c r="J36" s="41">
        <f t="shared" si="1"/>
        <v>9</v>
      </c>
      <c r="K36" s="41">
        <v>8</v>
      </c>
      <c r="L36" s="40">
        <v>1</v>
      </c>
      <c r="M36" s="49">
        <v>2</v>
      </c>
    </row>
    <row r="37" spans="1:13" x14ac:dyDescent="0.25">
      <c r="A37" t="s">
        <v>303</v>
      </c>
      <c r="B37">
        <v>22008560</v>
      </c>
      <c r="C37" s="20">
        <v>5</v>
      </c>
      <c r="D37" s="20">
        <v>0</v>
      </c>
      <c r="E37" s="41">
        <f t="shared" si="0"/>
        <v>4</v>
      </c>
      <c r="F37" s="30" t="s">
        <v>574</v>
      </c>
      <c r="G37" s="20">
        <v>7</v>
      </c>
      <c r="H37" s="31" t="s">
        <v>519</v>
      </c>
      <c r="I37" s="20">
        <v>9</v>
      </c>
      <c r="J37" s="41">
        <f t="shared" si="1"/>
        <v>8</v>
      </c>
      <c r="K37" s="41">
        <v>6.5</v>
      </c>
      <c r="L37" s="40">
        <v>6</v>
      </c>
      <c r="M37" s="49">
        <v>2</v>
      </c>
    </row>
    <row r="38" spans="1:13" x14ac:dyDescent="0.25">
      <c r="A38" t="s">
        <v>304</v>
      </c>
      <c r="B38">
        <v>22007652</v>
      </c>
      <c r="C38" s="20">
        <v>6</v>
      </c>
      <c r="D38" s="20">
        <v>1.5</v>
      </c>
      <c r="E38" s="41">
        <f t="shared" si="0"/>
        <v>6.3000000000000007</v>
      </c>
      <c r="F38" s="30" t="s">
        <v>576</v>
      </c>
      <c r="G38" s="20">
        <v>5</v>
      </c>
      <c r="H38" s="31" t="s">
        <v>520</v>
      </c>
      <c r="I38" s="20">
        <v>6</v>
      </c>
      <c r="J38" s="41">
        <f t="shared" si="1"/>
        <v>5.5</v>
      </c>
      <c r="K38" s="41">
        <v>6.5</v>
      </c>
      <c r="L38" s="40">
        <v>6</v>
      </c>
      <c r="M38" s="49">
        <v>2</v>
      </c>
    </row>
    <row r="39" spans="1:13" x14ac:dyDescent="0.25">
      <c r="A39" t="s">
        <v>305</v>
      </c>
      <c r="B39">
        <v>22015680</v>
      </c>
      <c r="C39" s="20">
        <v>3.5</v>
      </c>
      <c r="D39" s="20">
        <v>0</v>
      </c>
      <c r="E39" s="41">
        <f t="shared" si="0"/>
        <v>2.8000000000000003</v>
      </c>
      <c r="F39" s="30" t="s">
        <v>305</v>
      </c>
      <c r="G39" s="20">
        <v>0</v>
      </c>
      <c r="H39" s="31" t="s">
        <v>521</v>
      </c>
      <c r="I39" s="20">
        <v>9</v>
      </c>
      <c r="J39" s="41">
        <f t="shared" si="1"/>
        <v>4.5</v>
      </c>
      <c r="K39" s="41">
        <v>8.5</v>
      </c>
      <c r="L39" s="40">
        <v>4</v>
      </c>
      <c r="M39" s="49">
        <v>1</v>
      </c>
    </row>
  </sheetData>
  <autoFilter ref="A1:M41" xr:uid="{176ABAEC-290B-4B73-A7EB-5239F3B9036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E938A-1158-4FED-B2A7-5EE6162463EF}">
  <dimension ref="A1:K11"/>
  <sheetViews>
    <sheetView workbookViewId="0">
      <selection activeCell="C9" sqref="C9"/>
    </sheetView>
  </sheetViews>
  <sheetFormatPr defaultRowHeight="15" x14ac:dyDescent="0.25"/>
  <cols>
    <col min="1" max="1" width="24.42578125" customWidth="1"/>
    <col min="2" max="2" width="33.140625" customWidth="1"/>
    <col min="3" max="3" width="19.28515625" style="2" customWidth="1"/>
    <col min="4" max="4" width="43.85546875" customWidth="1"/>
    <col min="5" max="5" width="43.85546875" hidden="1" customWidth="1"/>
    <col min="6" max="6" width="18.7109375" style="39" customWidth="1"/>
    <col min="7" max="7" width="18.140625" style="39" customWidth="1"/>
    <col min="8" max="8" width="21.28515625" style="39" customWidth="1"/>
    <col min="9" max="11" width="19.7109375" style="39" customWidth="1"/>
  </cols>
  <sheetData>
    <row r="1" spans="1:11" ht="21" x14ac:dyDescent="0.35">
      <c r="F1" s="47" t="s">
        <v>582</v>
      </c>
      <c r="G1" s="47"/>
      <c r="H1" s="47"/>
      <c r="I1" s="47" t="s">
        <v>583</v>
      </c>
      <c r="J1" s="47"/>
      <c r="K1" s="47"/>
    </row>
    <row r="2" spans="1:11" s="21" customFormat="1" ht="17.25" x14ac:dyDescent="0.3">
      <c r="A2" s="32" t="s">
        <v>584</v>
      </c>
      <c r="B2" s="32" t="s">
        <v>585</v>
      </c>
      <c r="C2" s="33" t="s">
        <v>586</v>
      </c>
      <c r="D2" s="32" t="s">
        <v>587</v>
      </c>
      <c r="E2" s="32"/>
      <c r="F2" s="34" t="s">
        <v>588</v>
      </c>
      <c r="G2" s="34" t="s">
        <v>589</v>
      </c>
      <c r="H2" s="34" t="s">
        <v>590</v>
      </c>
      <c r="I2" s="34" t="s">
        <v>588</v>
      </c>
      <c r="J2" s="34" t="s">
        <v>589</v>
      </c>
      <c r="K2" s="34" t="s">
        <v>590</v>
      </c>
    </row>
    <row r="3" spans="1:11" ht="17.25" x14ac:dyDescent="0.3">
      <c r="A3" s="35" t="s">
        <v>308</v>
      </c>
      <c r="B3" s="35" t="s">
        <v>591</v>
      </c>
      <c r="C3" s="36">
        <f t="shared" ref="C3:C9" si="0">SUM(F3:K3)</f>
        <v>8</v>
      </c>
      <c r="D3" s="35" t="s">
        <v>592</v>
      </c>
      <c r="E3" s="37" t="s">
        <v>593</v>
      </c>
      <c r="F3" s="38">
        <v>1</v>
      </c>
      <c r="G3" s="38">
        <v>1.5</v>
      </c>
      <c r="H3" s="38">
        <v>1</v>
      </c>
      <c r="I3" s="38">
        <v>1.5</v>
      </c>
      <c r="J3" s="38">
        <v>2</v>
      </c>
      <c r="K3" s="38">
        <v>1</v>
      </c>
    </row>
    <row r="4" spans="1:11" ht="17.25" x14ac:dyDescent="0.3">
      <c r="A4" s="35" t="s">
        <v>292</v>
      </c>
      <c r="B4" s="35" t="s">
        <v>594</v>
      </c>
      <c r="C4" s="36">
        <f t="shared" si="0"/>
        <v>6</v>
      </c>
      <c r="D4" s="35" t="s">
        <v>595</v>
      </c>
      <c r="E4" s="35" t="s">
        <v>596</v>
      </c>
      <c r="F4" s="38">
        <v>1</v>
      </c>
      <c r="G4" s="38">
        <v>1.5</v>
      </c>
      <c r="H4" s="38">
        <v>1</v>
      </c>
      <c r="I4" s="38">
        <v>0.5</v>
      </c>
      <c r="J4" s="38">
        <v>1.5</v>
      </c>
      <c r="K4" s="38">
        <v>0.5</v>
      </c>
    </row>
    <row r="5" spans="1:11" ht="17.25" x14ac:dyDescent="0.3">
      <c r="A5" s="35" t="s">
        <v>281</v>
      </c>
      <c r="B5" s="35" t="s">
        <v>597</v>
      </c>
      <c r="C5" s="36">
        <f t="shared" si="0"/>
        <v>8</v>
      </c>
      <c r="D5" s="35" t="s">
        <v>598</v>
      </c>
      <c r="E5" s="35" t="s">
        <v>599</v>
      </c>
      <c r="F5" s="38">
        <v>1</v>
      </c>
      <c r="G5" s="38">
        <v>2</v>
      </c>
      <c r="H5" s="38">
        <v>1</v>
      </c>
      <c r="I5" s="38">
        <v>1</v>
      </c>
      <c r="J5" s="38">
        <v>2</v>
      </c>
      <c r="K5" s="38">
        <v>1</v>
      </c>
    </row>
    <row r="6" spans="1:11" ht="17.25" x14ac:dyDescent="0.3">
      <c r="A6" s="35" t="s">
        <v>600</v>
      </c>
      <c r="B6" s="35" t="s">
        <v>601</v>
      </c>
      <c r="C6" s="36">
        <f t="shared" si="0"/>
        <v>7.5</v>
      </c>
      <c r="D6" s="35" t="s">
        <v>602</v>
      </c>
      <c r="E6" s="35" t="s">
        <v>603</v>
      </c>
      <c r="F6" s="38">
        <v>1</v>
      </c>
      <c r="G6" s="38">
        <v>1.5</v>
      </c>
      <c r="H6" s="38">
        <v>1</v>
      </c>
      <c r="I6" s="38">
        <v>1.5</v>
      </c>
      <c r="J6" s="38">
        <v>1.5</v>
      </c>
      <c r="K6" s="38">
        <v>1</v>
      </c>
    </row>
    <row r="7" spans="1:11" ht="17.25" x14ac:dyDescent="0.3">
      <c r="A7" s="35" t="s">
        <v>286</v>
      </c>
      <c r="B7" s="35" t="s">
        <v>604</v>
      </c>
      <c r="C7" s="36">
        <f t="shared" si="0"/>
        <v>8.5</v>
      </c>
      <c r="D7" s="35" t="s">
        <v>605</v>
      </c>
      <c r="E7" s="35" t="s">
        <v>603</v>
      </c>
      <c r="F7" s="38">
        <v>1</v>
      </c>
      <c r="G7" s="38">
        <v>1.5</v>
      </c>
      <c r="H7" s="38">
        <v>1</v>
      </c>
      <c r="I7" s="38">
        <v>1.5</v>
      </c>
      <c r="J7" s="38">
        <v>2.5</v>
      </c>
      <c r="K7" s="38">
        <v>1</v>
      </c>
    </row>
    <row r="8" spans="1:11" ht="17.25" x14ac:dyDescent="0.3">
      <c r="A8" s="35" t="s">
        <v>290</v>
      </c>
      <c r="B8" s="35" t="s">
        <v>606</v>
      </c>
      <c r="C8" s="36">
        <f t="shared" si="0"/>
        <v>4.5</v>
      </c>
      <c r="D8" s="35" t="s">
        <v>607</v>
      </c>
      <c r="E8" s="35" t="s">
        <v>608</v>
      </c>
      <c r="F8" s="38">
        <v>1.5</v>
      </c>
      <c r="G8" s="38">
        <v>2</v>
      </c>
      <c r="H8" s="38">
        <v>1</v>
      </c>
      <c r="I8" s="38">
        <v>0</v>
      </c>
      <c r="J8" s="38">
        <v>0</v>
      </c>
      <c r="K8" s="38">
        <v>0</v>
      </c>
    </row>
    <row r="9" spans="1:11" ht="17.25" x14ac:dyDescent="0.3">
      <c r="A9" s="35" t="s">
        <v>304</v>
      </c>
      <c r="B9" s="35" t="s">
        <v>609</v>
      </c>
      <c r="C9" s="36">
        <f t="shared" si="0"/>
        <v>6.5</v>
      </c>
      <c r="D9" s="35" t="s">
        <v>610</v>
      </c>
      <c r="E9" s="35" t="s">
        <v>611</v>
      </c>
      <c r="F9" s="38">
        <v>1</v>
      </c>
      <c r="G9" s="38">
        <v>1.5</v>
      </c>
      <c r="H9" s="38">
        <v>1</v>
      </c>
      <c r="I9" s="38">
        <v>0.5</v>
      </c>
      <c r="J9" s="38">
        <v>1.5</v>
      </c>
      <c r="K9" s="38">
        <v>1</v>
      </c>
    </row>
    <row r="10" spans="1:11" ht="17.25" x14ac:dyDescent="0.3">
      <c r="D10" s="35"/>
    </row>
    <row r="11" spans="1:11" ht="17.25" x14ac:dyDescent="0.3">
      <c r="D11" s="35"/>
    </row>
  </sheetData>
  <mergeCells count="2">
    <mergeCell ref="F1:H1"/>
    <mergeCell ref="I1:K1"/>
  </mergeCells>
  <hyperlinks>
    <hyperlink ref="B3" r:id="rId1" xr:uid="{4A03F1B6-2EBE-4092-9BB3-61CF2D39A538}"/>
    <hyperlink ref="B4" r:id="rId2" xr:uid="{03E0324F-2155-4CC2-B2B0-B86C4D14F98C}"/>
    <hyperlink ref="B5" r:id="rId3" xr:uid="{AE03B9DC-C8E9-4E09-BB86-AF0FE4B8E27F}"/>
    <hyperlink ref="B6" r:id="rId4" xr:uid="{30E77277-B816-4FD8-9072-8CAB0FEF417E}"/>
    <hyperlink ref="B7" r:id="rId5" xr:uid="{9A36A9BA-63D3-49C5-9F05-0AF31DAAEB06}"/>
    <hyperlink ref="B9" r:id="rId6" xr:uid="{F5781237-E43C-4406-BA09-4DB8D30DDB6A}"/>
    <hyperlink ref="B8" r:id="rId7" xr:uid="{5F4F219D-5AC8-4321-8358-832ED0F571F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ECF7A-9671-474E-B155-6DA370E34D07}">
  <dimension ref="A1:AS19"/>
  <sheetViews>
    <sheetView topLeftCell="Q1" workbookViewId="0">
      <selection activeCell="B3" sqref="B3:C3"/>
    </sheetView>
  </sheetViews>
  <sheetFormatPr defaultColWidth="10" defaultRowHeight="15" x14ac:dyDescent="0.25"/>
  <cols>
    <col min="1" max="1" width="52.28515625" style="15" hidden="1" customWidth="1"/>
    <col min="2" max="2" width="36.140625" style="15" customWidth="1"/>
    <col min="3" max="3" width="13.5703125" style="15" customWidth="1"/>
    <col min="4" max="4" width="10" style="2"/>
    <col min="9" max="9" width="10" style="2"/>
    <col min="13" max="13" width="10" style="2"/>
    <col min="17" max="17" width="10" style="2"/>
    <col min="21" max="21" width="10" style="2"/>
    <col min="24" max="24" width="10" style="2"/>
    <col min="28" max="28" width="10" style="2"/>
    <col min="34" max="34" width="10" style="2"/>
    <col min="39" max="39" width="10" style="2"/>
    <col min="45" max="45" width="10" style="2"/>
  </cols>
  <sheetData>
    <row r="1" spans="1:45" x14ac:dyDescent="0.25">
      <c r="B1" s="19" t="s">
        <v>279</v>
      </c>
      <c r="C1" s="19" t="s">
        <v>280</v>
      </c>
      <c r="D1" s="11" t="s">
        <v>278</v>
      </c>
      <c r="E1" s="1" t="s">
        <v>12</v>
      </c>
      <c r="F1" s="1" t="s">
        <v>20</v>
      </c>
      <c r="G1" s="1" t="s">
        <v>21</v>
      </c>
      <c r="H1" s="1" t="s">
        <v>25</v>
      </c>
      <c r="I1" s="3" t="s">
        <v>269</v>
      </c>
      <c r="J1" s="1" t="s">
        <v>31</v>
      </c>
      <c r="K1" s="1" t="s">
        <v>32</v>
      </c>
      <c r="L1" s="1" t="s">
        <v>33</v>
      </c>
      <c r="M1" s="3" t="s">
        <v>270</v>
      </c>
      <c r="N1" s="1" t="s">
        <v>34</v>
      </c>
      <c r="O1" s="1" t="s">
        <v>47</v>
      </c>
      <c r="P1" s="1" t="s">
        <v>48</v>
      </c>
      <c r="Q1" s="3" t="s">
        <v>271</v>
      </c>
      <c r="R1" s="1" t="s">
        <v>49</v>
      </c>
      <c r="S1" s="1" t="s">
        <v>57</v>
      </c>
      <c r="T1" s="1" t="s">
        <v>58</v>
      </c>
      <c r="U1" s="3" t="s">
        <v>272</v>
      </c>
      <c r="V1" s="1" t="s">
        <v>63</v>
      </c>
      <c r="W1" s="1" t="s">
        <v>76</v>
      </c>
      <c r="X1" s="10" t="s">
        <v>273</v>
      </c>
      <c r="Y1" s="1" t="s">
        <v>81</v>
      </c>
      <c r="Z1" s="1" t="s">
        <v>82</v>
      </c>
      <c r="AA1" s="1" t="s">
        <v>83</v>
      </c>
      <c r="AB1" s="3" t="s">
        <v>274</v>
      </c>
      <c r="AC1" s="1" t="s">
        <v>84</v>
      </c>
      <c r="AD1" s="1" t="s">
        <v>85</v>
      </c>
      <c r="AE1" s="1" t="s">
        <v>86</v>
      </c>
      <c r="AF1" s="1" t="s">
        <v>87</v>
      </c>
      <c r="AG1" s="1" t="s">
        <v>88</v>
      </c>
      <c r="AH1" s="3" t="s">
        <v>275</v>
      </c>
      <c r="AI1" s="1" t="s">
        <v>89</v>
      </c>
      <c r="AJ1" s="1" t="s">
        <v>98</v>
      </c>
      <c r="AK1" s="1" t="s">
        <v>99</v>
      </c>
      <c r="AL1" s="1" t="s">
        <v>100</v>
      </c>
      <c r="AM1" s="3" t="s">
        <v>276</v>
      </c>
      <c r="AN1" s="1" t="s">
        <v>101</v>
      </c>
      <c r="AO1" s="1" t="s">
        <v>114</v>
      </c>
      <c r="AP1" s="1" t="s">
        <v>118</v>
      </c>
      <c r="AQ1" s="1" t="s">
        <v>123</v>
      </c>
      <c r="AR1" s="1" t="s">
        <v>124</v>
      </c>
      <c r="AS1" s="3" t="s">
        <v>277</v>
      </c>
    </row>
    <row r="2" spans="1:45" x14ac:dyDescent="0.25">
      <c r="A2" s="16" t="s">
        <v>0</v>
      </c>
      <c r="B2" s="18" t="str">
        <f>SUBSTITUTE(MID(A2,4,LEN(A2)-12),"_"," ")</f>
        <v>impar gaba</v>
      </c>
      <c r="C2" s="18" t="str">
        <f t="shared" ref="C2:C13" si="0">RIGHT(A2,8)</f>
        <v>ito_A  1</v>
      </c>
      <c r="D2" s="12">
        <f t="shared" ref="D2:D13" si="1">SUM(I2,M2,Q2,U2,2*X2,AB2,AH2,AM2,AS2)</f>
        <v>10</v>
      </c>
      <c r="E2" t="s">
        <v>13</v>
      </c>
      <c r="F2">
        <v>0</v>
      </c>
      <c r="G2" t="s">
        <v>22</v>
      </c>
      <c r="H2" t="s">
        <v>26</v>
      </c>
      <c r="I2" s="4">
        <v>1</v>
      </c>
      <c r="J2">
        <v>0.62</v>
      </c>
      <c r="K2">
        <v>0.24</v>
      </c>
      <c r="L2">
        <v>2.58</v>
      </c>
      <c r="M2" s="4">
        <v>1</v>
      </c>
      <c r="N2" t="s">
        <v>35</v>
      </c>
      <c r="O2">
        <v>0.02</v>
      </c>
      <c r="P2" t="s">
        <v>22</v>
      </c>
      <c r="Q2" s="4">
        <v>1</v>
      </c>
      <c r="R2" t="s">
        <v>50</v>
      </c>
      <c r="S2">
        <v>0.15</v>
      </c>
      <c r="T2" t="s">
        <v>59</v>
      </c>
      <c r="U2" s="4">
        <v>1</v>
      </c>
      <c r="V2" t="s">
        <v>64</v>
      </c>
      <c r="W2" t="s">
        <v>77</v>
      </c>
      <c r="X2" s="8">
        <v>1</v>
      </c>
      <c r="Y2">
        <v>3</v>
      </c>
      <c r="Z2">
        <v>1</v>
      </c>
      <c r="AA2">
        <v>1</v>
      </c>
      <c r="AB2" s="4">
        <v>1</v>
      </c>
      <c r="AC2">
        <v>-0.51259999999999994</v>
      </c>
      <c r="AD2">
        <v>-4.3299999999999998E-2</v>
      </c>
      <c r="AE2">
        <v>2047.5719999999999</v>
      </c>
      <c r="AF2">
        <v>2072.6810169999999</v>
      </c>
      <c r="AG2">
        <v>109.07</v>
      </c>
      <c r="AH2" s="4">
        <v>1</v>
      </c>
      <c r="AI2" t="s">
        <v>90</v>
      </c>
      <c r="AJ2">
        <v>2045.575</v>
      </c>
      <c r="AK2">
        <v>2072.7491519999999</v>
      </c>
      <c r="AL2">
        <v>109.09</v>
      </c>
      <c r="AM2" s="4">
        <v>1</v>
      </c>
      <c r="AN2" t="s">
        <v>102</v>
      </c>
      <c r="AO2" t="s">
        <v>79</v>
      </c>
      <c r="AP2" t="s">
        <v>22</v>
      </c>
      <c r="AQ2" t="s">
        <v>24</v>
      </c>
      <c r="AR2" t="s">
        <v>22</v>
      </c>
      <c r="AS2" s="4">
        <v>1</v>
      </c>
    </row>
    <row r="3" spans="1:45" x14ac:dyDescent="0.25">
      <c r="A3" s="16" t="s">
        <v>1</v>
      </c>
      <c r="B3" s="18" t="str">
        <f>SUBSTITUTE(MID(A3,4,LEN(A3)-12),"_"," ")</f>
        <v>André Felipe Silva Xavier</v>
      </c>
      <c r="C3" s="18" t="str">
        <f t="shared" si="0"/>
        <v>22013393</v>
      </c>
      <c r="D3" s="12">
        <f t="shared" si="1"/>
        <v>5</v>
      </c>
      <c r="E3" t="s">
        <v>14</v>
      </c>
      <c r="F3">
        <v>4.5493000000000001E-23</v>
      </c>
      <c r="G3" t="s">
        <v>22</v>
      </c>
      <c r="H3" t="s">
        <v>27</v>
      </c>
      <c r="I3" s="4">
        <v>1</v>
      </c>
      <c r="J3">
        <v>0.62960000000000005</v>
      </c>
      <c r="K3">
        <v>0.2424</v>
      </c>
      <c r="L3">
        <v>2.6</v>
      </c>
      <c r="M3" s="4">
        <v>1</v>
      </c>
      <c r="N3" t="s">
        <v>36</v>
      </c>
      <c r="O3">
        <v>1.9599999999999999E-2</v>
      </c>
      <c r="P3" t="s">
        <v>22</v>
      </c>
      <c r="Q3" s="4">
        <v>1</v>
      </c>
      <c r="R3" t="s">
        <v>51</v>
      </c>
      <c r="S3">
        <v>0.1575</v>
      </c>
      <c r="T3" t="s">
        <v>59</v>
      </c>
      <c r="U3" s="4">
        <v>1</v>
      </c>
      <c r="V3" t="s">
        <v>65</v>
      </c>
      <c r="W3" t="s">
        <v>78</v>
      </c>
      <c r="X3" s="8">
        <v>0</v>
      </c>
      <c r="Y3">
        <v>2</v>
      </c>
      <c r="Z3">
        <v>1</v>
      </c>
      <c r="AA3">
        <v>2</v>
      </c>
      <c r="AB3" s="4">
        <v>0</v>
      </c>
      <c r="AC3">
        <v>-0.99180000000000001</v>
      </c>
      <c r="AD3">
        <v>0.45590000000000003</v>
      </c>
      <c r="AE3">
        <v>2046.4549999999999</v>
      </c>
      <c r="AF3">
        <v>2077.8510000000001</v>
      </c>
      <c r="AG3">
        <v>103.123</v>
      </c>
      <c r="AH3" s="4">
        <v>0</v>
      </c>
      <c r="AI3" t="s">
        <v>91</v>
      </c>
      <c r="AJ3">
        <v>2046.998</v>
      </c>
      <c r="AK3">
        <v>2069.9250000000002</v>
      </c>
      <c r="AL3">
        <v>109.169</v>
      </c>
      <c r="AM3" s="4">
        <v>0</v>
      </c>
      <c r="AN3" t="s">
        <v>103</v>
      </c>
      <c r="AO3" t="s">
        <v>78</v>
      </c>
      <c r="AP3" t="s">
        <v>119</v>
      </c>
      <c r="AQ3" t="s">
        <v>122</v>
      </c>
      <c r="AR3" t="s">
        <v>119</v>
      </c>
      <c r="AS3" s="4">
        <v>1</v>
      </c>
    </row>
    <row r="4" spans="1:45" x14ac:dyDescent="0.25">
      <c r="A4" s="16" t="s">
        <v>2</v>
      </c>
      <c r="B4" s="18" t="str">
        <f t="shared" ref="B4:B13" si="2">SUBSTITUTE(MID(A4,4,LEN(A4)-12),"_"," ")</f>
        <v>André Freire Prino</v>
      </c>
      <c r="C4" s="18" t="str">
        <f t="shared" si="0"/>
        <v>21004765</v>
      </c>
      <c r="D4" s="12">
        <f t="shared" si="1"/>
        <v>3.5</v>
      </c>
      <c r="E4" t="s">
        <v>15</v>
      </c>
      <c r="F4">
        <v>4.5493000000000001E-23</v>
      </c>
      <c r="G4" t="s">
        <v>23</v>
      </c>
      <c r="H4" t="s">
        <v>28</v>
      </c>
      <c r="I4" s="4">
        <v>1</v>
      </c>
      <c r="J4">
        <v>0.63</v>
      </c>
      <c r="K4">
        <v>0.24</v>
      </c>
      <c r="L4">
        <v>2.62</v>
      </c>
      <c r="M4" s="4">
        <v>1</v>
      </c>
      <c r="N4" t="s">
        <v>37</v>
      </c>
      <c r="O4">
        <v>3.9100000000000003E-2</v>
      </c>
      <c r="P4" t="s">
        <v>22</v>
      </c>
      <c r="Q4" s="4">
        <v>0.5</v>
      </c>
      <c r="R4" t="s">
        <v>52</v>
      </c>
      <c r="S4">
        <v>0.16</v>
      </c>
      <c r="T4" t="s">
        <v>59</v>
      </c>
      <c r="U4" s="4">
        <v>1</v>
      </c>
      <c r="V4" t="s">
        <v>66</v>
      </c>
      <c r="W4" t="s">
        <v>77</v>
      </c>
      <c r="X4" s="8">
        <v>0</v>
      </c>
      <c r="Y4">
        <v>2</v>
      </c>
      <c r="Z4">
        <v>1</v>
      </c>
      <c r="AA4">
        <v>1</v>
      </c>
      <c r="AB4" s="4">
        <v>0</v>
      </c>
      <c r="AC4">
        <v>-3.15E-2</v>
      </c>
      <c r="AD4">
        <v>-0.52929999999999999</v>
      </c>
      <c r="AE4">
        <v>2046.9976999999999</v>
      </c>
      <c r="AF4">
        <v>2069.9252000000001</v>
      </c>
      <c r="AG4">
        <v>109.16889999999999</v>
      </c>
      <c r="AH4" s="4">
        <v>0</v>
      </c>
      <c r="AI4" t="s">
        <v>92</v>
      </c>
      <c r="AJ4">
        <v>2045.0528999999999</v>
      </c>
      <c r="AK4">
        <v>2069.3463999999999</v>
      </c>
      <c r="AL4">
        <v>109.43170000000001</v>
      </c>
      <c r="AM4" s="4">
        <v>0</v>
      </c>
      <c r="AN4" t="s">
        <v>104</v>
      </c>
      <c r="AO4" t="s">
        <v>80</v>
      </c>
      <c r="AP4" t="s">
        <v>120</v>
      </c>
      <c r="AQ4" s="6" t="s">
        <v>120</v>
      </c>
      <c r="AR4" s="6" t="s">
        <v>120</v>
      </c>
      <c r="AS4" s="5">
        <v>0</v>
      </c>
    </row>
    <row r="5" spans="1:45" x14ac:dyDescent="0.25">
      <c r="A5" s="16" t="s">
        <v>3</v>
      </c>
      <c r="B5" s="18" t="str">
        <f t="shared" si="2"/>
        <v>Bruno Giannini Loffreda</v>
      </c>
      <c r="C5" s="18" t="str">
        <f t="shared" si="0"/>
        <v>21001227</v>
      </c>
      <c r="D5" s="12">
        <f t="shared" si="1"/>
        <v>5</v>
      </c>
      <c r="E5" t="s">
        <v>16</v>
      </c>
      <c r="F5">
        <v>0</v>
      </c>
      <c r="G5" t="s">
        <v>22</v>
      </c>
      <c r="H5" t="s">
        <v>26</v>
      </c>
      <c r="I5" s="4">
        <v>1</v>
      </c>
      <c r="J5">
        <v>0.8</v>
      </c>
      <c r="K5">
        <v>0.6</v>
      </c>
      <c r="L5">
        <v>1.33</v>
      </c>
      <c r="M5" s="4">
        <v>0</v>
      </c>
      <c r="N5" t="s">
        <v>38</v>
      </c>
      <c r="O5">
        <v>0.98</v>
      </c>
      <c r="P5" t="s">
        <v>22</v>
      </c>
      <c r="Q5" s="4">
        <v>1</v>
      </c>
      <c r="R5" t="s">
        <v>53</v>
      </c>
      <c r="S5">
        <v>0.6</v>
      </c>
      <c r="T5" t="s">
        <v>60</v>
      </c>
      <c r="U5" s="4">
        <v>0</v>
      </c>
      <c r="V5" t="s">
        <v>67</v>
      </c>
      <c r="W5" t="s">
        <v>77</v>
      </c>
      <c r="X5" s="8">
        <v>1</v>
      </c>
      <c r="Y5">
        <v>2</v>
      </c>
      <c r="Z5">
        <v>1</v>
      </c>
      <c r="AA5">
        <v>1</v>
      </c>
      <c r="AB5" s="4">
        <v>0</v>
      </c>
      <c r="AC5">
        <v>-3.15E-2</v>
      </c>
      <c r="AD5">
        <v>-0.52929999999999999</v>
      </c>
      <c r="AE5">
        <v>2046.998</v>
      </c>
      <c r="AF5">
        <v>2069.925221</v>
      </c>
      <c r="AG5">
        <v>0</v>
      </c>
      <c r="AH5" s="4">
        <v>0</v>
      </c>
      <c r="AI5" t="s">
        <v>93</v>
      </c>
      <c r="AJ5">
        <v>2050.2730000000001</v>
      </c>
      <c r="AK5">
        <v>2079.3825029999998</v>
      </c>
      <c r="AL5">
        <v>0</v>
      </c>
      <c r="AM5" s="4">
        <v>0</v>
      </c>
      <c r="AN5" t="s">
        <v>105</v>
      </c>
      <c r="AO5" t="s">
        <v>77</v>
      </c>
      <c r="AP5" t="s">
        <v>119</v>
      </c>
      <c r="AQ5" t="s">
        <v>122</v>
      </c>
      <c r="AR5" t="s">
        <v>119</v>
      </c>
      <c r="AS5" s="4">
        <v>1</v>
      </c>
    </row>
    <row r="6" spans="1:45" x14ac:dyDescent="0.25">
      <c r="A6" s="17" t="s">
        <v>4</v>
      </c>
      <c r="B6" s="18" t="str">
        <f t="shared" si="2"/>
        <v>Durval Consorti Soranz de Barros Santos</v>
      </c>
      <c r="C6" s="18" t="str">
        <f t="shared" si="0"/>
        <v>22010970</v>
      </c>
      <c r="D6" s="12">
        <f t="shared" si="1"/>
        <v>7</v>
      </c>
      <c r="E6" t="s">
        <v>17</v>
      </c>
      <c r="F6">
        <v>0</v>
      </c>
      <c r="G6" t="s">
        <v>22</v>
      </c>
      <c r="H6" t="s">
        <v>26</v>
      </c>
      <c r="I6" s="4">
        <v>1</v>
      </c>
      <c r="J6">
        <v>0.63</v>
      </c>
      <c r="K6">
        <v>0.24</v>
      </c>
      <c r="L6">
        <v>2.62</v>
      </c>
      <c r="M6" s="4">
        <v>1</v>
      </c>
      <c r="N6" t="s">
        <v>39</v>
      </c>
      <c r="O6">
        <v>3.9E-2</v>
      </c>
      <c r="P6" t="s">
        <v>22</v>
      </c>
      <c r="Q6" s="4">
        <v>0.5</v>
      </c>
      <c r="R6" t="s">
        <v>52</v>
      </c>
      <c r="S6">
        <v>0.16</v>
      </c>
      <c r="T6" t="s">
        <v>59</v>
      </c>
      <c r="U6" s="4">
        <v>1</v>
      </c>
      <c r="V6" t="s">
        <v>68</v>
      </c>
      <c r="W6" t="s">
        <v>77</v>
      </c>
      <c r="X6" s="8">
        <v>1</v>
      </c>
      <c r="Y6">
        <v>2</v>
      </c>
      <c r="Z6">
        <v>1</v>
      </c>
      <c r="AA6">
        <v>2</v>
      </c>
      <c r="AB6" s="4">
        <v>0</v>
      </c>
      <c r="AC6">
        <v>-0.99199999999999999</v>
      </c>
      <c r="AD6">
        <v>0.45600000000000002</v>
      </c>
      <c r="AE6">
        <v>2046.4549999999999</v>
      </c>
      <c r="AF6">
        <v>2077.8510000000001</v>
      </c>
      <c r="AG6">
        <v>103.123</v>
      </c>
      <c r="AH6" s="4">
        <v>0</v>
      </c>
      <c r="AI6" t="s">
        <v>94</v>
      </c>
      <c r="AJ6">
        <v>2046.663</v>
      </c>
      <c r="AK6">
        <v>2066.2130000000002</v>
      </c>
      <c r="AL6">
        <v>112.41200000000001</v>
      </c>
      <c r="AM6" s="4">
        <v>0.5</v>
      </c>
      <c r="AN6" t="s">
        <v>106</v>
      </c>
      <c r="AO6" t="s">
        <v>115</v>
      </c>
      <c r="AP6" t="s">
        <v>119</v>
      </c>
      <c r="AQ6" t="s">
        <v>122</v>
      </c>
      <c r="AR6" t="s">
        <v>119</v>
      </c>
      <c r="AS6" s="4">
        <v>1</v>
      </c>
    </row>
    <row r="7" spans="1:45" x14ac:dyDescent="0.25">
      <c r="A7" s="16" t="s">
        <v>5</v>
      </c>
      <c r="B7" s="18" t="str">
        <f t="shared" si="2"/>
        <v>Enrico Mota Santarelli</v>
      </c>
      <c r="C7" s="18" t="str">
        <f t="shared" si="0"/>
        <v>22003703</v>
      </c>
      <c r="D7" s="12">
        <f t="shared" si="1"/>
        <v>8</v>
      </c>
      <c r="E7" t="s">
        <v>18</v>
      </c>
      <c r="F7">
        <v>4.5492517112987927E-23</v>
      </c>
      <c r="G7" t="s">
        <v>22</v>
      </c>
      <c r="H7" t="s">
        <v>26</v>
      </c>
      <c r="I7" s="4">
        <v>1</v>
      </c>
      <c r="J7">
        <v>0.62962962962962965</v>
      </c>
      <c r="K7">
        <v>0.24236252545824849</v>
      </c>
      <c r="L7">
        <v>2.6</v>
      </c>
      <c r="M7" s="4">
        <v>1</v>
      </c>
      <c r="N7" t="s">
        <v>40</v>
      </c>
      <c r="O7">
        <v>1.956232700674124E-2</v>
      </c>
      <c r="P7" t="s">
        <v>22</v>
      </c>
      <c r="Q7" s="4">
        <v>1</v>
      </c>
      <c r="R7" t="s">
        <v>52</v>
      </c>
      <c r="S7">
        <v>0.1575</v>
      </c>
      <c r="T7" t="s">
        <v>59</v>
      </c>
      <c r="U7" s="4">
        <v>1</v>
      </c>
      <c r="V7" t="s">
        <v>69</v>
      </c>
      <c r="W7" t="s">
        <v>77</v>
      </c>
      <c r="X7" s="8">
        <v>0</v>
      </c>
      <c r="Y7">
        <v>3</v>
      </c>
      <c r="Z7">
        <v>1</v>
      </c>
      <c r="AA7">
        <v>1</v>
      </c>
      <c r="AB7" s="4">
        <v>1</v>
      </c>
      <c r="AC7">
        <v>-0.51256100000000004</v>
      </c>
      <c r="AD7">
        <v>-4.3346999999999997E-2</v>
      </c>
      <c r="AE7">
        <v>2047.571522</v>
      </c>
      <c r="AF7">
        <v>2072.681016</v>
      </c>
      <c r="AG7">
        <v>109.074279</v>
      </c>
      <c r="AH7" s="4">
        <v>1</v>
      </c>
      <c r="AI7" t="s">
        <v>90</v>
      </c>
      <c r="AJ7">
        <v>2045.5748590000001</v>
      </c>
      <c r="AK7">
        <v>2072.7491519999999</v>
      </c>
      <c r="AL7">
        <v>109.090431</v>
      </c>
      <c r="AM7" s="4">
        <v>1</v>
      </c>
      <c r="AN7" t="s">
        <v>107</v>
      </c>
      <c r="AO7" t="s">
        <v>116</v>
      </c>
      <c r="AP7" t="s">
        <v>119</v>
      </c>
      <c r="AQ7" t="s">
        <v>122</v>
      </c>
      <c r="AR7" t="s">
        <v>119</v>
      </c>
      <c r="AS7" s="4">
        <v>1</v>
      </c>
    </row>
    <row r="8" spans="1:45" s="6" customFormat="1" x14ac:dyDescent="0.25">
      <c r="A8" s="17" t="s">
        <v>6</v>
      </c>
      <c r="B8" s="18" t="str">
        <f t="shared" si="2"/>
        <v>Leonardo Galdi Fiorese</v>
      </c>
      <c r="C8" s="18" t="str">
        <f t="shared" si="0"/>
        <v>22009523</v>
      </c>
      <c r="D8" s="12">
        <f t="shared" si="1"/>
        <v>6.5</v>
      </c>
      <c r="E8" s="6" t="s">
        <v>18</v>
      </c>
      <c r="F8" s="6">
        <v>0</v>
      </c>
      <c r="G8" s="6" t="s">
        <v>22</v>
      </c>
      <c r="H8" s="6" t="s">
        <v>26</v>
      </c>
      <c r="I8" s="5">
        <v>1</v>
      </c>
      <c r="J8" s="6">
        <v>0.63</v>
      </c>
      <c r="K8" s="6">
        <v>0.24</v>
      </c>
      <c r="L8" s="6">
        <v>2.62</v>
      </c>
      <c r="M8" s="5">
        <v>1</v>
      </c>
      <c r="N8" s="6" t="s">
        <v>41</v>
      </c>
      <c r="O8" s="6">
        <v>2.1000000000000001E-2</v>
      </c>
      <c r="P8" s="6" t="s">
        <v>22</v>
      </c>
      <c r="Q8" s="5">
        <v>0.5</v>
      </c>
      <c r="R8" s="6" t="s">
        <v>54</v>
      </c>
      <c r="S8" s="6">
        <v>0.16</v>
      </c>
      <c r="T8" s="6" t="s">
        <v>59</v>
      </c>
      <c r="U8" s="5">
        <v>1</v>
      </c>
      <c r="V8" s="6" t="s">
        <v>70</v>
      </c>
      <c r="W8" s="6" t="s">
        <v>77</v>
      </c>
      <c r="X8" s="7">
        <v>0</v>
      </c>
      <c r="Y8" s="6">
        <v>3</v>
      </c>
      <c r="Z8" s="6">
        <v>1</v>
      </c>
      <c r="AA8" s="6">
        <v>1</v>
      </c>
      <c r="AB8" s="5">
        <v>1</v>
      </c>
      <c r="AC8" s="6">
        <v>-0.51300000000000001</v>
      </c>
      <c r="AD8" s="6">
        <v>4.2999999999999997E-2</v>
      </c>
      <c r="AE8" s="6">
        <v>2047.5719999999999</v>
      </c>
      <c r="AF8" s="6">
        <v>2072.681</v>
      </c>
      <c r="AG8" s="6">
        <v>109.074</v>
      </c>
      <c r="AH8" s="5">
        <v>1</v>
      </c>
      <c r="AI8" s="6" t="s">
        <v>90</v>
      </c>
      <c r="AJ8" s="6">
        <v>2045.575</v>
      </c>
      <c r="AK8" s="6">
        <v>2072.7489999999998</v>
      </c>
      <c r="AL8" s="6">
        <v>120.32</v>
      </c>
      <c r="AM8" s="5">
        <v>1</v>
      </c>
      <c r="AN8" s="6" t="s">
        <v>108</v>
      </c>
      <c r="AO8" s="6" t="s">
        <v>77</v>
      </c>
      <c r="AP8" s="6" t="s">
        <v>121</v>
      </c>
      <c r="AQ8" s="6" t="s">
        <v>121</v>
      </c>
      <c r="AR8" s="6" t="s">
        <v>121</v>
      </c>
      <c r="AS8" s="5">
        <v>0</v>
      </c>
    </row>
    <row r="9" spans="1:45" x14ac:dyDescent="0.25">
      <c r="A9" s="16" t="s">
        <v>7</v>
      </c>
      <c r="B9" s="18" t="str">
        <f t="shared" si="2"/>
        <v>Leonardo Henrique Dias Moura</v>
      </c>
      <c r="C9" s="18" t="str">
        <f t="shared" si="0"/>
        <v>21018375</v>
      </c>
      <c r="D9" s="12">
        <f t="shared" si="1"/>
        <v>4.5</v>
      </c>
      <c r="E9" t="s">
        <v>19</v>
      </c>
      <c r="F9">
        <v>0</v>
      </c>
      <c r="G9" t="s">
        <v>22</v>
      </c>
      <c r="H9" t="s">
        <v>29</v>
      </c>
      <c r="I9" s="4">
        <v>1</v>
      </c>
      <c r="J9">
        <v>0.63</v>
      </c>
      <c r="K9">
        <v>0.24</v>
      </c>
      <c r="L9">
        <v>2.62</v>
      </c>
      <c r="M9" s="4">
        <v>1</v>
      </c>
      <c r="N9" t="s">
        <v>42</v>
      </c>
      <c r="O9">
        <v>3.9100000000000003E-2</v>
      </c>
      <c r="P9" t="s">
        <v>22</v>
      </c>
      <c r="Q9" s="4">
        <v>0.5</v>
      </c>
      <c r="R9" t="s">
        <v>52</v>
      </c>
      <c r="S9">
        <v>-0.1575</v>
      </c>
      <c r="T9" t="s">
        <v>59</v>
      </c>
      <c r="U9" s="4">
        <v>1</v>
      </c>
      <c r="V9" t="s">
        <v>71</v>
      </c>
      <c r="W9" t="s">
        <v>77</v>
      </c>
      <c r="X9" s="8">
        <v>0</v>
      </c>
      <c r="Y9">
        <v>2</v>
      </c>
      <c r="Z9">
        <v>1</v>
      </c>
      <c r="AA9">
        <v>0</v>
      </c>
      <c r="AB9" s="4">
        <v>0</v>
      </c>
      <c r="AC9">
        <v>-0.51</v>
      </c>
      <c r="AD9">
        <v>0</v>
      </c>
      <c r="AE9">
        <v>2050.2730000000001</v>
      </c>
      <c r="AF9">
        <v>2079.3829999999998</v>
      </c>
      <c r="AG9">
        <v>104.605</v>
      </c>
      <c r="AH9" s="4">
        <v>0</v>
      </c>
      <c r="AI9" t="s">
        <v>95</v>
      </c>
      <c r="AJ9">
        <v>2046.663</v>
      </c>
      <c r="AK9">
        <v>2066.2130000000002</v>
      </c>
      <c r="AL9">
        <v>112.41200000000001</v>
      </c>
      <c r="AM9" s="4">
        <v>0</v>
      </c>
      <c r="AN9" t="s">
        <v>109</v>
      </c>
      <c r="AO9" t="s">
        <v>117</v>
      </c>
      <c r="AP9" t="s">
        <v>119</v>
      </c>
      <c r="AQ9" t="s">
        <v>122</v>
      </c>
      <c r="AR9" t="s">
        <v>119</v>
      </c>
      <c r="AS9" s="4">
        <v>1</v>
      </c>
    </row>
    <row r="10" spans="1:45" x14ac:dyDescent="0.25">
      <c r="A10" s="16" t="s">
        <v>8</v>
      </c>
      <c r="B10" s="18" t="str">
        <f t="shared" si="2"/>
        <v>Lucas Castanho Paganotto carvalho</v>
      </c>
      <c r="C10" s="18" t="str">
        <f t="shared" si="0"/>
        <v>22009213</v>
      </c>
      <c r="D10" s="12">
        <f t="shared" si="1"/>
        <v>5.5</v>
      </c>
      <c r="E10" t="s">
        <v>16</v>
      </c>
      <c r="F10">
        <v>0</v>
      </c>
      <c r="G10" t="s">
        <v>24</v>
      </c>
      <c r="H10" t="s">
        <v>30</v>
      </c>
      <c r="I10" s="4">
        <v>0.5</v>
      </c>
      <c r="J10">
        <v>0.8</v>
      </c>
      <c r="K10">
        <v>0.6</v>
      </c>
      <c r="L10">
        <v>1.33</v>
      </c>
      <c r="M10" s="4">
        <v>0</v>
      </c>
      <c r="N10" t="s">
        <v>43</v>
      </c>
      <c r="O10">
        <v>2.1000000000000001E-2</v>
      </c>
      <c r="P10" t="s">
        <v>22</v>
      </c>
      <c r="Q10" s="4">
        <v>1</v>
      </c>
      <c r="R10" t="s">
        <v>53</v>
      </c>
      <c r="S10">
        <v>0.6</v>
      </c>
      <c r="T10" t="s">
        <v>61</v>
      </c>
      <c r="U10" s="4">
        <v>0</v>
      </c>
      <c r="V10" t="s">
        <v>72</v>
      </c>
      <c r="W10" t="s">
        <v>79</v>
      </c>
      <c r="X10" s="9">
        <v>0</v>
      </c>
      <c r="Y10">
        <v>3</v>
      </c>
      <c r="Z10">
        <v>1</v>
      </c>
      <c r="AA10">
        <v>1</v>
      </c>
      <c r="AB10" s="4">
        <v>1</v>
      </c>
      <c r="AC10">
        <v>-0.51259999999999994</v>
      </c>
      <c r="AD10">
        <v>-4.3299999999999998E-2</v>
      </c>
      <c r="AE10">
        <v>2047.5719999999999</v>
      </c>
      <c r="AF10">
        <v>2072.6810169999999</v>
      </c>
      <c r="AG10" s="6">
        <v>110.565</v>
      </c>
      <c r="AH10" s="5">
        <v>1</v>
      </c>
      <c r="AI10" t="s">
        <v>96</v>
      </c>
      <c r="AJ10">
        <v>2110.8240000000001</v>
      </c>
      <c r="AK10">
        <v>2075.2984590000001</v>
      </c>
      <c r="AL10">
        <v>100.565</v>
      </c>
      <c r="AM10" s="5">
        <v>1</v>
      </c>
      <c r="AN10" t="s">
        <v>110</v>
      </c>
      <c r="AO10" t="s">
        <v>79</v>
      </c>
      <c r="AP10" t="s">
        <v>119</v>
      </c>
      <c r="AQ10" t="s">
        <v>122</v>
      </c>
      <c r="AR10" t="s">
        <v>119</v>
      </c>
      <c r="AS10" s="4">
        <v>1</v>
      </c>
    </row>
    <row r="11" spans="1:45" x14ac:dyDescent="0.25">
      <c r="A11" s="16" t="s">
        <v>9</v>
      </c>
      <c r="B11" s="18" t="str">
        <f t="shared" si="2"/>
        <v>Pedro Campos Dec</v>
      </c>
      <c r="C11" s="18" t="str">
        <f t="shared" si="0"/>
        <v>22007873</v>
      </c>
      <c r="D11" s="12">
        <f t="shared" si="1"/>
        <v>7</v>
      </c>
      <c r="E11" t="s">
        <v>16</v>
      </c>
      <c r="F11">
        <v>4.5492517112987927E-23</v>
      </c>
      <c r="G11" t="s">
        <v>22</v>
      </c>
      <c r="H11" t="s">
        <v>29</v>
      </c>
      <c r="I11" s="4">
        <v>1</v>
      </c>
      <c r="J11">
        <v>0.63</v>
      </c>
      <c r="K11">
        <v>0.24</v>
      </c>
      <c r="L11">
        <v>2.62</v>
      </c>
      <c r="M11" s="4">
        <v>1</v>
      </c>
      <c r="N11" t="s">
        <v>44</v>
      </c>
      <c r="O11">
        <v>3.9E-2</v>
      </c>
      <c r="P11" t="s">
        <v>22</v>
      </c>
      <c r="Q11" s="4">
        <v>0.5</v>
      </c>
      <c r="R11" t="s">
        <v>55</v>
      </c>
      <c r="S11">
        <v>0.1575</v>
      </c>
      <c r="T11" t="s">
        <v>59</v>
      </c>
      <c r="U11" s="4">
        <v>1</v>
      </c>
      <c r="V11" t="s">
        <v>73</v>
      </c>
      <c r="W11" t="s">
        <v>80</v>
      </c>
      <c r="X11" s="8">
        <v>1</v>
      </c>
      <c r="Y11">
        <v>1</v>
      </c>
      <c r="Z11">
        <v>1</v>
      </c>
      <c r="AA11">
        <v>1</v>
      </c>
      <c r="AB11" s="4">
        <v>0</v>
      </c>
      <c r="AC11">
        <v>-2E-3</v>
      </c>
      <c r="AD11">
        <v>-0.55920000000000003</v>
      </c>
      <c r="AE11">
        <v>2045.0530000000001</v>
      </c>
      <c r="AF11">
        <v>2069.346</v>
      </c>
      <c r="AG11">
        <v>109.432</v>
      </c>
      <c r="AH11" s="4">
        <v>0</v>
      </c>
      <c r="AI11" t="s">
        <v>97</v>
      </c>
      <c r="AJ11">
        <v>2043.0530000000001</v>
      </c>
      <c r="AK11">
        <v>2069.306</v>
      </c>
      <c r="AL11">
        <v>109.44499999999999</v>
      </c>
      <c r="AM11" s="4">
        <v>0.5</v>
      </c>
      <c r="AN11" t="s">
        <v>111</v>
      </c>
      <c r="AO11" t="s">
        <v>77</v>
      </c>
      <c r="AP11" t="s">
        <v>119</v>
      </c>
      <c r="AQ11" t="s">
        <v>122</v>
      </c>
      <c r="AR11" t="s">
        <v>119</v>
      </c>
      <c r="AS11" s="4">
        <v>1</v>
      </c>
    </row>
    <row r="12" spans="1:45" x14ac:dyDescent="0.25">
      <c r="A12" s="16" t="s">
        <v>10</v>
      </c>
      <c r="B12" s="18" t="str">
        <f t="shared" si="2"/>
        <v>Rodrigo Fernandes Faltz</v>
      </c>
      <c r="C12" s="18" t="str">
        <f t="shared" si="0"/>
        <v>21016607</v>
      </c>
      <c r="D12" s="12">
        <f t="shared" si="1"/>
        <v>7</v>
      </c>
      <c r="E12" t="s">
        <v>18</v>
      </c>
      <c r="F12">
        <v>0</v>
      </c>
      <c r="G12" t="s">
        <v>22</v>
      </c>
      <c r="H12" t="s">
        <v>26</v>
      </c>
      <c r="I12" s="4">
        <v>1</v>
      </c>
      <c r="J12">
        <v>0.63</v>
      </c>
      <c r="K12">
        <v>0.24</v>
      </c>
      <c r="L12">
        <v>2.62</v>
      </c>
      <c r="M12" s="4">
        <v>1</v>
      </c>
      <c r="N12" t="s">
        <v>45</v>
      </c>
      <c r="O12">
        <v>3.9E-2</v>
      </c>
      <c r="P12" t="s">
        <v>22</v>
      </c>
      <c r="Q12" s="4">
        <v>0.5</v>
      </c>
      <c r="R12" t="s">
        <v>55</v>
      </c>
      <c r="S12">
        <v>0.1575</v>
      </c>
      <c r="T12" t="s">
        <v>59</v>
      </c>
      <c r="U12" s="4">
        <v>1</v>
      </c>
      <c r="V12" t="s">
        <v>74</v>
      </c>
      <c r="W12" t="s">
        <v>80</v>
      </c>
      <c r="X12" s="8">
        <v>1</v>
      </c>
      <c r="Y12">
        <v>1</v>
      </c>
      <c r="Z12">
        <v>1</v>
      </c>
      <c r="AA12">
        <v>1</v>
      </c>
      <c r="AB12" s="4">
        <v>0</v>
      </c>
      <c r="AC12">
        <v>-2E-3</v>
      </c>
      <c r="AD12">
        <v>-0.55900000000000005</v>
      </c>
      <c r="AE12">
        <v>2045.0530000000001</v>
      </c>
      <c r="AF12">
        <v>2069.346</v>
      </c>
      <c r="AG12">
        <v>109.432</v>
      </c>
      <c r="AH12" s="4">
        <v>0</v>
      </c>
      <c r="AI12" t="s">
        <v>97</v>
      </c>
      <c r="AJ12">
        <v>2043.4449999999999</v>
      </c>
      <c r="AK12">
        <v>2069.306</v>
      </c>
      <c r="AL12">
        <v>109.44499999999999</v>
      </c>
      <c r="AM12" s="4">
        <v>0.5</v>
      </c>
      <c r="AN12" t="s">
        <v>112</v>
      </c>
      <c r="AO12" t="s">
        <v>78</v>
      </c>
      <c r="AP12" t="s">
        <v>119</v>
      </c>
      <c r="AQ12" t="s">
        <v>122</v>
      </c>
      <c r="AR12" t="s">
        <v>119</v>
      </c>
      <c r="AS12" s="4">
        <v>1</v>
      </c>
    </row>
    <row r="13" spans="1:45" x14ac:dyDescent="0.25">
      <c r="A13" s="16" t="s">
        <v>11</v>
      </c>
      <c r="B13" s="18" t="str">
        <f t="shared" si="2"/>
        <v>Sérgio Guidi Trovo</v>
      </c>
      <c r="C13" s="18" t="str">
        <f t="shared" si="0"/>
        <v>22011285</v>
      </c>
      <c r="D13" s="12">
        <f t="shared" si="1"/>
        <v>1.5</v>
      </c>
      <c r="E13" t="s">
        <v>13</v>
      </c>
      <c r="F13">
        <v>4.5490000000000004</v>
      </c>
      <c r="G13" t="s">
        <v>22</v>
      </c>
      <c r="H13" t="s">
        <v>26</v>
      </c>
      <c r="I13" s="4">
        <v>1</v>
      </c>
      <c r="J13">
        <v>0.8</v>
      </c>
      <c r="K13">
        <v>0.6</v>
      </c>
      <c r="L13">
        <v>1.33</v>
      </c>
      <c r="M13" s="4">
        <v>0</v>
      </c>
      <c r="N13" t="s">
        <v>46</v>
      </c>
      <c r="O13">
        <v>3.9E-2</v>
      </c>
      <c r="P13" t="s">
        <v>22</v>
      </c>
      <c r="Q13" s="4">
        <v>0.5</v>
      </c>
      <c r="R13" t="s">
        <v>56</v>
      </c>
      <c r="S13">
        <v>0.6</v>
      </c>
      <c r="T13" t="s">
        <v>62</v>
      </c>
      <c r="U13" s="4">
        <v>0</v>
      </c>
      <c r="V13" t="s">
        <v>75</v>
      </c>
      <c r="W13" t="s">
        <v>77</v>
      </c>
      <c r="X13" s="8">
        <v>0</v>
      </c>
      <c r="Y13">
        <v>3</v>
      </c>
      <c r="Z13">
        <v>1</v>
      </c>
      <c r="AA13">
        <v>3</v>
      </c>
      <c r="AB13" s="4">
        <v>0</v>
      </c>
      <c r="AC13">
        <v>-0.94199999999999995</v>
      </c>
      <c r="AD13">
        <v>0.41499999999999998</v>
      </c>
      <c r="AE13">
        <v>1406.097</v>
      </c>
      <c r="AF13">
        <v>2075.5369999999998</v>
      </c>
      <c r="AG13">
        <v>110.565</v>
      </c>
      <c r="AH13" s="4">
        <v>0</v>
      </c>
      <c r="AI13" t="s">
        <v>95</v>
      </c>
      <c r="AJ13">
        <v>2063.395</v>
      </c>
      <c r="AK13">
        <v>2068.2800000000002</v>
      </c>
      <c r="AL13">
        <v>100.565</v>
      </c>
      <c r="AM13" s="4">
        <v>0</v>
      </c>
      <c r="AN13" t="s">
        <v>113</v>
      </c>
      <c r="AO13" t="s">
        <v>77</v>
      </c>
      <c r="AP13" t="s">
        <v>122</v>
      </c>
      <c r="AQ13" s="6" t="s">
        <v>119</v>
      </c>
      <c r="AR13" s="6" t="s">
        <v>119</v>
      </c>
      <c r="AS13" s="5">
        <v>0</v>
      </c>
    </row>
    <row r="19" spans="3:3" x14ac:dyDescent="0.25">
      <c r="C19" s="18" t="str">
        <f>RIGHT(A19,8)</f>
        <v/>
      </c>
    </row>
  </sheetData>
  <autoFilter ref="A1:AS13" xr:uid="{909ECF7A-9671-474E-B155-6DA370E34D07}"/>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EF60-BF42-47CC-B078-40D3B4E82E51}">
  <dimension ref="A1:AR27"/>
  <sheetViews>
    <sheetView topLeftCell="B1" workbookViewId="0">
      <selection activeCell="B1" sqref="B1:D27"/>
    </sheetView>
  </sheetViews>
  <sheetFormatPr defaultRowHeight="15" x14ac:dyDescent="0.25"/>
  <cols>
    <col min="1" max="1" width="53.28515625" style="15" hidden="1" customWidth="1"/>
    <col min="2" max="2" width="36.140625" style="15" customWidth="1"/>
    <col min="3" max="3" width="13.5703125" style="15" customWidth="1"/>
    <col min="4" max="4" width="10" style="2" customWidth="1"/>
    <col min="5" max="7" width="10" customWidth="1"/>
    <col min="8" max="8" width="10" style="2" customWidth="1"/>
    <col min="9" max="11" width="10" customWidth="1"/>
    <col min="12" max="12" width="10" style="2" customWidth="1"/>
    <col min="13" max="15" width="10" customWidth="1"/>
    <col min="16" max="16" width="10" style="2" customWidth="1"/>
    <col min="17" max="19" width="10" customWidth="1"/>
    <col min="20" max="20" width="10" style="2" customWidth="1"/>
    <col min="21" max="22" width="10" customWidth="1"/>
    <col min="23" max="23" width="10" style="2" customWidth="1"/>
    <col min="24" max="26" width="10" customWidth="1"/>
    <col min="27" max="27" width="10" style="2" customWidth="1"/>
    <col min="28" max="32" width="10" customWidth="1"/>
    <col min="33" max="33" width="10" style="2" customWidth="1"/>
    <col min="34" max="37" width="10" customWidth="1"/>
    <col min="38" max="38" width="10" style="2" customWidth="1"/>
    <col min="39" max="43" width="10" customWidth="1"/>
    <col min="44" max="44" width="10" style="2" customWidth="1"/>
  </cols>
  <sheetData>
    <row r="1" spans="1:44" x14ac:dyDescent="0.25">
      <c r="B1" s="19" t="s">
        <v>279</v>
      </c>
      <c r="C1" s="19" t="s">
        <v>280</v>
      </c>
      <c r="D1" s="13" t="s">
        <v>278</v>
      </c>
      <c r="E1" s="1" t="s">
        <v>12</v>
      </c>
      <c r="F1" s="1" t="s">
        <v>20</v>
      </c>
      <c r="G1" s="1" t="s">
        <v>166</v>
      </c>
      <c r="H1" s="3" t="s">
        <v>269</v>
      </c>
      <c r="I1" s="1" t="s">
        <v>167</v>
      </c>
      <c r="J1" s="1" t="s">
        <v>168</v>
      </c>
      <c r="K1" s="1" t="s">
        <v>33</v>
      </c>
      <c r="L1" s="3" t="s">
        <v>270</v>
      </c>
      <c r="M1" s="1" t="s">
        <v>34</v>
      </c>
      <c r="N1" s="1" t="s">
        <v>47</v>
      </c>
      <c r="O1" s="1" t="s">
        <v>48</v>
      </c>
      <c r="P1" s="3" t="s">
        <v>271</v>
      </c>
      <c r="Q1" s="1" t="s">
        <v>49</v>
      </c>
      <c r="R1" s="1" t="s">
        <v>57</v>
      </c>
      <c r="S1" s="1" t="s">
        <v>58</v>
      </c>
      <c r="T1" s="3" t="s">
        <v>272</v>
      </c>
      <c r="U1" s="1" t="s">
        <v>63</v>
      </c>
      <c r="V1" s="1" t="s">
        <v>76</v>
      </c>
      <c r="W1" s="10" t="s">
        <v>273</v>
      </c>
      <c r="X1" s="1" t="s">
        <v>81</v>
      </c>
      <c r="Y1" s="1" t="s">
        <v>82</v>
      </c>
      <c r="Z1" s="1" t="s">
        <v>83</v>
      </c>
      <c r="AA1" s="3" t="s">
        <v>274</v>
      </c>
      <c r="AB1" s="1" t="s">
        <v>84</v>
      </c>
      <c r="AC1" s="1" t="s">
        <v>85</v>
      </c>
      <c r="AD1" s="1" t="s">
        <v>86</v>
      </c>
      <c r="AE1" s="1" t="s">
        <v>87</v>
      </c>
      <c r="AF1" s="1" t="s">
        <v>88</v>
      </c>
      <c r="AG1" s="3" t="s">
        <v>275</v>
      </c>
      <c r="AH1" s="1" t="s">
        <v>89</v>
      </c>
      <c r="AI1" s="1" t="s">
        <v>98</v>
      </c>
      <c r="AJ1" s="1" t="s">
        <v>99</v>
      </c>
      <c r="AK1" s="1" t="s">
        <v>100</v>
      </c>
      <c r="AL1" s="3" t="s">
        <v>276</v>
      </c>
      <c r="AM1" s="1" t="s">
        <v>101</v>
      </c>
      <c r="AN1" s="1" t="s">
        <v>114</v>
      </c>
      <c r="AO1" s="1" t="s">
        <v>118</v>
      </c>
      <c r="AP1" s="1" t="s">
        <v>123</v>
      </c>
      <c r="AQ1" s="1" t="s">
        <v>124</v>
      </c>
      <c r="AR1" s="3" t="s">
        <v>277</v>
      </c>
    </row>
    <row r="2" spans="1:44" x14ac:dyDescent="0.25">
      <c r="A2" s="16" t="s">
        <v>128</v>
      </c>
      <c r="B2" s="18" t="str">
        <f>SUBSTITUTE(MID(A2,4,LEN(A2)-12),"_"," ")</f>
        <v>par gaba</v>
      </c>
      <c r="C2" s="18" t="str">
        <f t="shared" ref="C2:C13" si="0">RIGHT(A2,8)</f>
        <v>ito_B  0</v>
      </c>
      <c r="D2" s="14">
        <f t="shared" ref="D2:D27" si="1">SUM(H2,L2,P2,T2,2*W2,AA2,AG2,AL2,AR2)</f>
        <v>10</v>
      </c>
      <c r="E2" t="s">
        <v>13</v>
      </c>
      <c r="F2">
        <v>0</v>
      </c>
      <c r="G2" t="s">
        <v>22</v>
      </c>
      <c r="H2" s="4">
        <v>1</v>
      </c>
      <c r="I2">
        <v>0.505</v>
      </c>
      <c r="J2">
        <v>0.30299999999999999</v>
      </c>
      <c r="K2">
        <v>1.67</v>
      </c>
      <c r="L2" s="4">
        <v>1</v>
      </c>
      <c r="M2" t="s">
        <v>35</v>
      </c>
      <c r="N2">
        <v>0.02</v>
      </c>
      <c r="O2" t="s">
        <v>22</v>
      </c>
      <c r="P2" s="4">
        <v>1</v>
      </c>
      <c r="Q2" t="s">
        <v>50</v>
      </c>
      <c r="R2">
        <v>0.15</v>
      </c>
      <c r="S2" t="s">
        <v>59</v>
      </c>
      <c r="T2" s="4">
        <v>1</v>
      </c>
      <c r="U2" t="s">
        <v>201</v>
      </c>
      <c r="V2" t="s">
        <v>77</v>
      </c>
      <c r="W2" s="8">
        <v>1</v>
      </c>
      <c r="X2">
        <v>3</v>
      </c>
      <c r="Y2">
        <v>1</v>
      </c>
      <c r="Z2">
        <v>1</v>
      </c>
      <c r="AA2" s="4">
        <v>1</v>
      </c>
      <c r="AB2">
        <v>-0.52910000000000001</v>
      </c>
      <c r="AC2">
        <v>-2.7099999999999999E-2</v>
      </c>
      <c r="AD2">
        <v>2047.1130000000001</v>
      </c>
      <c r="AE2">
        <v>2073.443158</v>
      </c>
      <c r="AF2">
        <v>109.49</v>
      </c>
      <c r="AG2" s="4">
        <v>1</v>
      </c>
      <c r="AH2" t="s">
        <v>90</v>
      </c>
      <c r="AI2">
        <v>2045.114</v>
      </c>
      <c r="AJ2">
        <v>2073.4738910000001</v>
      </c>
      <c r="AK2">
        <v>109.51</v>
      </c>
      <c r="AL2" s="4">
        <v>1</v>
      </c>
      <c r="AM2" t="s">
        <v>232</v>
      </c>
      <c r="AN2" t="s">
        <v>79</v>
      </c>
      <c r="AO2" t="s">
        <v>22</v>
      </c>
      <c r="AP2" t="s">
        <v>24</v>
      </c>
      <c r="AQ2" t="s">
        <v>22</v>
      </c>
      <c r="AR2" s="4">
        <v>1</v>
      </c>
    </row>
    <row r="3" spans="1:44" x14ac:dyDescent="0.25">
      <c r="A3" s="16" t="s">
        <v>129</v>
      </c>
      <c r="B3" s="18" t="str">
        <f>SUBSTITUTE(MID(A3,4,LEN(A3)-12),"_"," ")</f>
        <v>Amanda Carolina Ambrizzi Ramin</v>
      </c>
      <c r="C3" s="18" t="str">
        <f t="shared" si="0"/>
        <v>22007210</v>
      </c>
      <c r="D3" s="14">
        <f t="shared" si="1"/>
        <v>10</v>
      </c>
      <c r="E3" t="s">
        <v>15</v>
      </c>
      <c r="F3">
        <v>0</v>
      </c>
      <c r="G3" t="s">
        <v>22</v>
      </c>
      <c r="H3" s="4">
        <v>1</v>
      </c>
      <c r="I3">
        <v>0.51</v>
      </c>
      <c r="J3">
        <v>0.3</v>
      </c>
      <c r="K3">
        <v>1.7</v>
      </c>
      <c r="L3" s="4">
        <v>1</v>
      </c>
      <c r="M3" t="s">
        <v>169</v>
      </c>
      <c r="N3">
        <v>2.1000000000000001E-2</v>
      </c>
      <c r="O3" t="s">
        <v>22</v>
      </c>
      <c r="P3" s="4">
        <v>1</v>
      </c>
      <c r="Q3" t="s">
        <v>52</v>
      </c>
      <c r="R3">
        <v>-0.16</v>
      </c>
      <c r="S3" t="s">
        <v>59</v>
      </c>
      <c r="T3" s="4">
        <v>1</v>
      </c>
      <c r="U3" t="s">
        <v>202</v>
      </c>
      <c r="V3" t="s">
        <v>226</v>
      </c>
      <c r="W3" s="8">
        <v>1</v>
      </c>
      <c r="X3">
        <v>3</v>
      </c>
      <c r="Y3">
        <v>1</v>
      </c>
      <c r="Z3">
        <v>1</v>
      </c>
      <c r="AA3" s="4">
        <v>1</v>
      </c>
      <c r="AB3">
        <v>-0.52910000000000001</v>
      </c>
      <c r="AC3">
        <v>-2.7099999999999999E-2</v>
      </c>
      <c r="AD3">
        <v>2047.1130000000001</v>
      </c>
      <c r="AE3">
        <v>2073.4430000000002</v>
      </c>
      <c r="AF3">
        <v>109.494</v>
      </c>
      <c r="AG3" s="4">
        <v>1</v>
      </c>
      <c r="AH3" t="s">
        <v>90</v>
      </c>
      <c r="AI3">
        <v>2045.114</v>
      </c>
      <c r="AJ3">
        <v>2073.4740000000002</v>
      </c>
      <c r="AK3">
        <v>109.51</v>
      </c>
      <c r="AL3" s="4">
        <v>1</v>
      </c>
      <c r="AM3" t="s">
        <v>233</v>
      </c>
      <c r="AN3" t="s">
        <v>79</v>
      </c>
      <c r="AO3" t="s">
        <v>22</v>
      </c>
      <c r="AP3" t="s">
        <v>24</v>
      </c>
      <c r="AQ3" t="s">
        <v>22</v>
      </c>
      <c r="AR3" s="4">
        <v>1</v>
      </c>
    </row>
    <row r="4" spans="1:44" x14ac:dyDescent="0.25">
      <c r="A4" s="16" t="s">
        <v>130</v>
      </c>
      <c r="B4" s="18" t="str">
        <f t="shared" ref="B4:B27" si="2">SUBSTITUTE(MID(A4,4,LEN(A4)-12),"_"," ")</f>
        <v>André Renato Almeida Abreu</v>
      </c>
      <c r="C4" s="18" t="str">
        <f t="shared" si="0"/>
        <v>22012559</v>
      </c>
      <c r="D4" s="14">
        <f t="shared" si="1"/>
        <v>3</v>
      </c>
      <c r="E4" t="s">
        <v>154</v>
      </c>
      <c r="F4">
        <v>4.5492517112987927E-23</v>
      </c>
      <c r="H4" s="4">
        <v>0.5</v>
      </c>
      <c r="L4" s="4">
        <v>0</v>
      </c>
      <c r="M4" t="s">
        <v>170</v>
      </c>
      <c r="N4">
        <v>3.9100000000000003E-2</v>
      </c>
      <c r="O4" t="s">
        <v>22</v>
      </c>
      <c r="P4" s="4">
        <v>0.5</v>
      </c>
      <c r="Q4" t="s">
        <v>52</v>
      </c>
      <c r="R4">
        <v>0.1575</v>
      </c>
      <c r="S4" t="s">
        <v>59</v>
      </c>
      <c r="T4" s="4">
        <v>1</v>
      </c>
      <c r="W4" s="9">
        <v>0</v>
      </c>
      <c r="X4">
        <v>2</v>
      </c>
      <c r="Y4">
        <v>1</v>
      </c>
      <c r="Z4">
        <v>2</v>
      </c>
      <c r="AA4" s="4">
        <v>0</v>
      </c>
      <c r="AB4">
        <v>-0.99180000000000001</v>
      </c>
      <c r="AC4">
        <v>0.45590000000000003</v>
      </c>
      <c r="AD4">
        <v>2046.4549999999999</v>
      </c>
      <c r="AE4">
        <v>2077.85</v>
      </c>
      <c r="AF4">
        <v>103.12</v>
      </c>
      <c r="AG4" s="4">
        <v>0</v>
      </c>
      <c r="AH4" t="s">
        <v>92</v>
      </c>
      <c r="AI4">
        <v>2045.0530000000001</v>
      </c>
      <c r="AJ4">
        <v>2069.35</v>
      </c>
      <c r="AK4">
        <v>109.43</v>
      </c>
      <c r="AL4" s="4">
        <v>0</v>
      </c>
      <c r="AM4" t="s">
        <v>234</v>
      </c>
      <c r="AN4" t="s">
        <v>227</v>
      </c>
      <c r="AO4" t="s">
        <v>119</v>
      </c>
      <c r="AP4" t="s">
        <v>122</v>
      </c>
      <c r="AQ4" t="s">
        <v>119</v>
      </c>
      <c r="AR4" s="4">
        <v>1</v>
      </c>
    </row>
    <row r="5" spans="1:44" x14ac:dyDescent="0.25">
      <c r="A5" s="16" t="s">
        <v>131</v>
      </c>
      <c r="B5" s="18" t="str">
        <f t="shared" si="2"/>
        <v>André Solano Ferreira Rodrigues Maiolini</v>
      </c>
      <c r="C5" s="18" t="str">
        <f t="shared" si="0"/>
        <v>19020120</v>
      </c>
      <c r="D5" s="14">
        <f t="shared" si="1"/>
        <v>9.5</v>
      </c>
      <c r="E5" t="s">
        <v>155</v>
      </c>
      <c r="F5">
        <v>0</v>
      </c>
      <c r="G5" t="s">
        <v>22</v>
      </c>
      <c r="H5" s="4">
        <v>1</v>
      </c>
      <c r="I5">
        <v>0.50560000000000005</v>
      </c>
      <c r="J5">
        <v>0.30349999999999999</v>
      </c>
      <c r="K5">
        <v>1.67</v>
      </c>
      <c r="L5" s="4">
        <v>1</v>
      </c>
      <c r="M5" t="s">
        <v>171</v>
      </c>
      <c r="N5">
        <v>1.9599999999999999E-2</v>
      </c>
      <c r="O5" t="s">
        <v>22</v>
      </c>
      <c r="P5" s="4">
        <v>1</v>
      </c>
      <c r="Q5" t="s">
        <v>52</v>
      </c>
      <c r="R5">
        <v>0.157</v>
      </c>
      <c r="S5" t="s">
        <v>59</v>
      </c>
      <c r="T5" s="4">
        <v>1</v>
      </c>
      <c r="U5" t="s">
        <v>203</v>
      </c>
      <c r="V5" t="s">
        <v>77</v>
      </c>
      <c r="W5" s="8">
        <v>1</v>
      </c>
      <c r="X5">
        <v>3</v>
      </c>
      <c r="Y5">
        <v>1</v>
      </c>
      <c r="Z5">
        <v>1</v>
      </c>
      <c r="AA5" s="4">
        <v>1</v>
      </c>
      <c r="AB5">
        <v>-0.52910000000000001</v>
      </c>
      <c r="AC5">
        <v>-2.7099999999999999E-2</v>
      </c>
      <c r="AD5">
        <v>2047.1130000000001</v>
      </c>
      <c r="AE5">
        <v>2073.4432000000002</v>
      </c>
      <c r="AF5">
        <v>109.4936</v>
      </c>
      <c r="AG5" s="4">
        <v>1</v>
      </c>
      <c r="AH5" t="s">
        <v>90</v>
      </c>
      <c r="AI5">
        <v>2045.114</v>
      </c>
      <c r="AJ5">
        <v>2073.4739</v>
      </c>
      <c r="AK5">
        <v>109.51</v>
      </c>
      <c r="AL5" s="4">
        <v>1</v>
      </c>
      <c r="AM5" t="s">
        <v>235</v>
      </c>
      <c r="AN5" t="s">
        <v>257</v>
      </c>
      <c r="AO5" t="s">
        <v>121</v>
      </c>
      <c r="AP5" t="s">
        <v>122</v>
      </c>
      <c r="AQ5" t="s">
        <v>119</v>
      </c>
      <c r="AR5" s="4">
        <v>0.5</v>
      </c>
    </row>
    <row r="6" spans="1:44" x14ac:dyDescent="0.25">
      <c r="A6" s="16" t="s">
        <v>132</v>
      </c>
      <c r="B6" s="18" t="str">
        <f t="shared" si="2"/>
        <v>Arthur Jin Woo Lee</v>
      </c>
      <c r="C6" s="18" t="str">
        <f t="shared" si="0"/>
        <v>22015190</v>
      </c>
      <c r="D6" s="14">
        <f t="shared" si="1"/>
        <v>5</v>
      </c>
      <c r="E6" t="s">
        <v>156</v>
      </c>
      <c r="F6">
        <v>1.9727E-9</v>
      </c>
      <c r="G6" t="s">
        <v>22</v>
      </c>
      <c r="H6" s="4">
        <v>1</v>
      </c>
      <c r="I6">
        <v>0.50560000000000005</v>
      </c>
      <c r="J6">
        <v>0.30349999999999999</v>
      </c>
      <c r="K6">
        <v>1.67</v>
      </c>
      <c r="L6" s="4">
        <v>1</v>
      </c>
      <c r="M6" t="s">
        <v>172</v>
      </c>
      <c r="N6">
        <v>3.9100000000000003E-2</v>
      </c>
      <c r="O6" t="s">
        <v>22</v>
      </c>
      <c r="P6" s="4">
        <v>0.5</v>
      </c>
      <c r="Q6" t="s">
        <v>55</v>
      </c>
      <c r="R6">
        <v>0.1575</v>
      </c>
      <c r="S6" t="s">
        <v>59</v>
      </c>
      <c r="T6" s="4">
        <v>1</v>
      </c>
      <c r="U6" t="s">
        <v>204</v>
      </c>
      <c r="V6" t="s">
        <v>77</v>
      </c>
      <c r="W6" s="8">
        <v>0</v>
      </c>
      <c r="X6">
        <v>1</v>
      </c>
      <c r="Y6">
        <v>1</v>
      </c>
      <c r="Z6">
        <v>1</v>
      </c>
      <c r="AA6" s="4">
        <v>0</v>
      </c>
      <c r="AB6">
        <v>-4.7000000000000002E-3</v>
      </c>
      <c r="AC6">
        <v>-0.55689999999999995</v>
      </c>
      <c r="AD6">
        <v>2044.6030000000001</v>
      </c>
      <c r="AE6">
        <v>2070.06</v>
      </c>
      <c r="AF6">
        <v>109.86799999999999</v>
      </c>
      <c r="AG6" s="4">
        <v>0</v>
      </c>
      <c r="AH6" t="s">
        <v>97</v>
      </c>
      <c r="AI6">
        <v>2042.604</v>
      </c>
      <c r="AJ6">
        <v>2069.9630000000002</v>
      </c>
      <c r="AK6">
        <v>109.9</v>
      </c>
      <c r="AL6" s="4">
        <v>0.5</v>
      </c>
      <c r="AM6" t="s">
        <v>236</v>
      </c>
      <c r="AN6" t="s">
        <v>78</v>
      </c>
      <c r="AO6" t="s">
        <v>119</v>
      </c>
      <c r="AP6" t="s">
        <v>122</v>
      </c>
      <c r="AQ6" t="s">
        <v>22</v>
      </c>
      <c r="AR6" s="4">
        <v>1</v>
      </c>
    </row>
    <row r="7" spans="1:44" x14ac:dyDescent="0.25">
      <c r="A7" s="16" t="s">
        <v>133</v>
      </c>
      <c r="B7" s="18" t="str">
        <f t="shared" si="2"/>
        <v>Breno Amorim Roman</v>
      </c>
      <c r="C7" s="18" t="str">
        <f t="shared" si="0"/>
        <v>20003950</v>
      </c>
      <c r="D7" s="14">
        <f t="shared" si="1"/>
        <v>9</v>
      </c>
      <c r="E7" t="s">
        <v>15</v>
      </c>
      <c r="F7">
        <v>1.9730000000000001E-9</v>
      </c>
      <c r="G7" t="s">
        <v>22</v>
      </c>
      <c r="H7" s="4">
        <v>1</v>
      </c>
      <c r="I7">
        <v>0.50600000000000001</v>
      </c>
      <c r="J7">
        <v>0.30299999999999999</v>
      </c>
      <c r="K7">
        <v>1.67</v>
      </c>
      <c r="L7" s="4">
        <v>1</v>
      </c>
      <c r="M7" t="s">
        <v>173</v>
      </c>
      <c r="N7">
        <v>1.9599999999999999E-2</v>
      </c>
      <c r="O7" t="s">
        <v>22</v>
      </c>
      <c r="P7" s="4">
        <v>1</v>
      </c>
      <c r="Q7" t="s">
        <v>55</v>
      </c>
      <c r="R7">
        <v>0.16</v>
      </c>
      <c r="S7" t="s">
        <v>59</v>
      </c>
      <c r="T7" s="4">
        <v>1</v>
      </c>
      <c r="U7" t="s">
        <v>205</v>
      </c>
      <c r="V7" t="s">
        <v>80</v>
      </c>
      <c r="W7" s="8">
        <v>0.5</v>
      </c>
      <c r="X7">
        <v>3</v>
      </c>
      <c r="Y7">
        <v>1</v>
      </c>
      <c r="Z7">
        <v>1</v>
      </c>
      <c r="AA7" s="4">
        <v>1</v>
      </c>
      <c r="AB7">
        <v>-0.52900000000000003</v>
      </c>
      <c r="AC7">
        <v>-2.7E-2</v>
      </c>
      <c r="AD7">
        <v>2047.1130000000001</v>
      </c>
      <c r="AE7">
        <v>2073.4430000000002</v>
      </c>
      <c r="AF7">
        <v>109.494</v>
      </c>
      <c r="AG7" s="4">
        <v>1</v>
      </c>
      <c r="AH7" t="s">
        <v>229</v>
      </c>
      <c r="AI7">
        <v>2045.114</v>
      </c>
      <c r="AJ7">
        <v>2073.4740000000002</v>
      </c>
      <c r="AK7">
        <v>109.51</v>
      </c>
      <c r="AL7" s="4">
        <v>1</v>
      </c>
      <c r="AM7" t="s">
        <v>237</v>
      </c>
      <c r="AN7" t="s">
        <v>227</v>
      </c>
      <c r="AO7" t="s">
        <v>119</v>
      </c>
      <c r="AP7" t="s">
        <v>265</v>
      </c>
      <c r="AQ7" t="s">
        <v>119</v>
      </c>
      <c r="AR7" s="4">
        <v>1</v>
      </c>
    </row>
    <row r="8" spans="1:44" x14ac:dyDescent="0.25">
      <c r="A8" s="16" t="s">
        <v>134</v>
      </c>
      <c r="B8" s="18" t="str">
        <f t="shared" si="2"/>
        <v>Felipe Kenzo Ohara Sakae</v>
      </c>
      <c r="C8" s="18" t="str">
        <f t="shared" si="0"/>
        <v>22008152</v>
      </c>
      <c r="D8" s="14">
        <f t="shared" si="1"/>
        <v>7.5</v>
      </c>
      <c r="E8" t="s">
        <v>157</v>
      </c>
      <c r="F8">
        <v>0</v>
      </c>
      <c r="G8" t="s">
        <v>22</v>
      </c>
      <c r="H8" s="4">
        <v>1</v>
      </c>
      <c r="I8">
        <v>0.50600000000000001</v>
      </c>
      <c r="J8">
        <v>0.30399999999999999</v>
      </c>
      <c r="K8">
        <v>1.66</v>
      </c>
      <c r="L8" s="4">
        <v>1</v>
      </c>
      <c r="M8" t="s">
        <v>174</v>
      </c>
      <c r="N8">
        <v>3.9E-2</v>
      </c>
      <c r="O8" t="s">
        <v>22</v>
      </c>
      <c r="P8" s="4">
        <v>0.5</v>
      </c>
      <c r="Q8" t="s">
        <v>52</v>
      </c>
      <c r="R8">
        <v>0.157</v>
      </c>
      <c r="S8" t="s">
        <v>199</v>
      </c>
      <c r="T8" s="4">
        <v>1</v>
      </c>
      <c r="U8" t="s">
        <v>206</v>
      </c>
      <c r="V8" t="s">
        <v>77</v>
      </c>
      <c r="W8" s="8">
        <v>0</v>
      </c>
      <c r="X8">
        <v>3</v>
      </c>
      <c r="Y8">
        <v>1</v>
      </c>
      <c r="Z8">
        <v>1</v>
      </c>
      <c r="AA8" s="4">
        <v>1</v>
      </c>
      <c r="AB8">
        <v>-0.52900000000000003</v>
      </c>
      <c r="AC8">
        <v>-2.7099999999999999E-2</v>
      </c>
      <c r="AD8">
        <v>2047.1130000000001</v>
      </c>
      <c r="AE8">
        <v>2073.4430000000002</v>
      </c>
      <c r="AF8">
        <v>109.494</v>
      </c>
      <c r="AG8" s="4">
        <v>1</v>
      </c>
      <c r="AH8" t="s">
        <v>90</v>
      </c>
      <c r="AI8">
        <v>2045.114</v>
      </c>
      <c r="AJ8">
        <v>2073.4740000000002</v>
      </c>
      <c r="AK8">
        <v>109.51</v>
      </c>
      <c r="AL8" s="4">
        <v>1</v>
      </c>
      <c r="AM8" t="s">
        <v>238</v>
      </c>
      <c r="AN8" t="s">
        <v>227</v>
      </c>
      <c r="AO8" t="s">
        <v>119</v>
      </c>
      <c r="AP8" t="s">
        <v>122</v>
      </c>
      <c r="AQ8" t="s">
        <v>119</v>
      </c>
      <c r="AR8" s="4">
        <v>1</v>
      </c>
    </row>
    <row r="9" spans="1:44" x14ac:dyDescent="0.25">
      <c r="A9" s="16" t="s">
        <v>135</v>
      </c>
      <c r="B9" s="18" t="str">
        <f t="shared" si="2"/>
        <v>Fernando Minharro Alves Gimenez</v>
      </c>
      <c r="C9" s="18" t="str">
        <f t="shared" si="0"/>
        <v>22008330</v>
      </c>
      <c r="D9" s="14">
        <f t="shared" si="1"/>
        <v>7</v>
      </c>
      <c r="E9" t="s">
        <v>156</v>
      </c>
      <c r="F9">
        <v>1.9727E-9</v>
      </c>
      <c r="G9" t="s">
        <v>22</v>
      </c>
      <c r="H9" s="4">
        <v>1</v>
      </c>
      <c r="I9">
        <v>0.50560000000000005</v>
      </c>
      <c r="J9">
        <v>0.30349999999999999</v>
      </c>
      <c r="K9">
        <v>1.67</v>
      </c>
      <c r="L9" s="4">
        <v>1</v>
      </c>
      <c r="M9" t="s">
        <v>175</v>
      </c>
      <c r="N9">
        <v>3.9100000000000003E-2</v>
      </c>
      <c r="O9" t="s">
        <v>22</v>
      </c>
      <c r="P9" s="4">
        <v>0.5</v>
      </c>
      <c r="Q9" t="s">
        <v>52</v>
      </c>
      <c r="R9">
        <v>-0.1575</v>
      </c>
      <c r="S9" t="s">
        <v>59</v>
      </c>
      <c r="T9" s="4">
        <v>1</v>
      </c>
      <c r="U9" t="s">
        <v>207</v>
      </c>
      <c r="V9" t="s">
        <v>80</v>
      </c>
      <c r="W9" s="8">
        <v>1</v>
      </c>
      <c r="X9">
        <v>1</v>
      </c>
      <c r="Y9">
        <v>1</v>
      </c>
      <c r="Z9">
        <v>1</v>
      </c>
      <c r="AA9" s="4">
        <v>0</v>
      </c>
      <c r="AB9">
        <v>-4.7000000000000002E-3</v>
      </c>
      <c r="AC9">
        <v>-0.55689999999999995</v>
      </c>
      <c r="AD9">
        <v>2044.6030000000001</v>
      </c>
      <c r="AE9">
        <v>2070.06</v>
      </c>
      <c r="AF9">
        <v>109.86799999999999</v>
      </c>
      <c r="AG9" s="4">
        <v>0</v>
      </c>
      <c r="AH9" t="s">
        <v>97</v>
      </c>
      <c r="AI9">
        <v>2042.6042</v>
      </c>
      <c r="AJ9">
        <v>2069.9630000000002</v>
      </c>
      <c r="AK9">
        <v>109.8999</v>
      </c>
      <c r="AL9" s="4">
        <v>0.5</v>
      </c>
      <c r="AM9" t="s">
        <v>239</v>
      </c>
      <c r="AN9" t="s">
        <v>258</v>
      </c>
      <c r="AO9" t="s">
        <v>119</v>
      </c>
      <c r="AP9" t="s">
        <v>122</v>
      </c>
      <c r="AQ9" t="s">
        <v>119</v>
      </c>
      <c r="AR9" s="4">
        <v>1</v>
      </c>
    </row>
    <row r="10" spans="1:44" x14ac:dyDescent="0.25">
      <c r="A10" s="16" t="s">
        <v>136</v>
      </c>
      <c r="B10" s="18" t="str">
        <f t="shared" si="2"/>
        <v>Giuliano Rodrigues Tumoli</v>
      </c>
      <c r="C10" s="18" t="str">
        <f t="shared" si="0"/>
        <v>21000360</v>
      </c>
      <c r="D10" s="14">
        <f t="shared" si="1"/>
        <v>2.5</v>
      </c>
      <c r="E10" t="s">
        <v>156</v>
      </c>
      <c r="F10">
        <v>0</v>
      </c>
      <c r="G10" t="s">
        <v>22</v>
      </c>
      <c r="H10" s="4">
        <v>1</v>
      </c>
      <c r="I10">
        <v>0.51</v>
      </c>
      <c r="J10">
        <v>0.3</v>
      </c>
      <c r="K10">
        <v>1.7</v>
      </c>
      <c r="L10" s="4">
        <v>1</v>
      </c>
      <c r="M10" t="s">
        <v>176</v>
      </c>
      <c r="N10">
        <v>5.28E-2</v>
      </c>
      <c r="O10" t="s">
        <v>24</v>
      </c>
      <c r="P10" s="4">
        <v>0</v>
      </c>
      <c r="Q10" t="s">
        <v>52</v>
      </c>
      <c r="R10">
        <v>-0.1336</v>
      </c>
      <c r="S10" t="s">
        <v>59</v>
      </c>
      <c r="T10" s="4">
        <v>0.5</v>
      </c>
      <c r="U10" t="s">
        <v>208</v>
      </c>
      <c r="V10" t="s">
        <v>77</v>
      </c>
      <c r="W10" s="8">
        <v>0</v>
      </c>
      <c r="X10">
        <v>4</v>
      </c>
      <c r="Y10">
        <v>1</v>
      </c>
      <c r="Z10">
        <v>2</v>
      </c>
      <c r="AA10" s="4">
        <v>0</v>
      </c>
      <c r="AB10">
        <v>-0.65400000000000003</v>
      </c>
      <c r="AC10">
        <v>9.9000000000000005E-2</v>
      </c>
      <c r="AD10">
        <v>2050.4830000000002</v>
      </c>
      <c r="AE10">
        <v>2065.7739999999999</v>
      </c>
      <c r="AF10">
        <v>114.578</v>
      </c>
      <c r="AG10" s="4">
        <v>0</v>
      </c>
      <c r="AH10" t="s">
        <v>92</v>
      </c>
      <c r="AI10">
        <v>2044.6030000000001</v>
      </c>
      <c r="AJ10">
        <v>2070.06</v>
      </c>
      <c r="AK10">
        <v>109.86799999999999</v>
      </c>
      <c r="AL10" s="4">
        <v>0</v>
      </c>
      <c r="AO10" t="s">
        <v>119</v>
      </c>
      <c r="AP10" t="s">
        <v>122</v>
      </c>
      <c r="AQ10" t="s">
        <v>119</v>
      </c>
      <c r="AR10" s="5">
        <v>0</v>
      </c>
    </row>
    <row r="11" spans="1:44" x14ac:dyDescent="0.25">
      <c r="A11" s="16" t="s">
        <v>137</v>
      </c>
      <c r="B11" s="18" t="str">
        <f t="shared" si="2"/>
        <v>Guilherme Martins Souza Paula</v>
      </c>
      <c r="C11" s="18" t="str">
        <f t="shared" si="0"/>
        <v>22000062</v>
      </c>
      <c r="D11" s="14">
        <f t="shared" si="1"/>
        <v>9</v>
      </c>
      <c r="E11" t="s">
        <v>158</v>
      </c>
      <c r="F11">
        <v>1.9726499999999998E-9</v>
      </c>
      <c r="G11" t="s">
        <v>22</v>
      </c>
      <c r="H11" s="4">
        <v>1</v>
      </c>
      <c r="I11">
        <v>0.50560000000000005</v>
      </c>
      <c r="J11">
        <v>0.30349999999999999</v>
      </c>
      <c r="K11">
        <v>1.67</v>
      </c>
      <c r="L11" s="4">
        <v>1</v>
      </c>
      <c r="M11" t="s">
        <v>177</v>
      </c>
      <c r="N11">
        <v>3.9124654013482488E-2</v>
      </c>
      <c r="O11" t="s">
        <v>22</v>
      </c>
      <c r="P11" s="4">
        <v>0.5</v>
      </c>
      <c r="Q11" t="s">
        <v>193</v>
      </c>
      <c r="R11">
        <v>0.1575</v>
      </c>
      <c r="S11" t="s">
        <v>59</v>
      </c>
      <c r="T11" s="4">
        <v>1</v>
      </c>
      <c r="U11" t="s">
        <v>209</v>
      </c>
      <c r="V11" t="s">
        <v>77</v>
      </c>
      <c r="W11" s="8">
        <v>1</v>
      </c>
      <c r="X11">
        <v>1</v>
      </c>
      <c r="Y11">
        <v>1</v>
      </c>
      <c r="Z11">
        <v>1</v>
      </c>
      <c r="AA11" s="4">
        <v>1</v>
      </c>
      <c r="AB11">
        <v>-4.7000000000000002E-3</v>
      </c>
      <c r="AC11">
        <v>-0.55689999999999995</v>
      </c>
      <c r="AD11">
        <v>2044.6030000000001</v>
      </c>
      <c r="AE11">
        <v>2070.06</v>
      </c>
      <c r="AF11">
        <v>109.86799999999999</v>
      </c>
      <c r="AG11" s="4">
        <v>1</v>
      </c>
      <c r="AH11" t="s">
        <v>97</v>
      </c>
      <c r="AI11">
        <v>2042.604</v>
      </c>
      <c r="AJ11">
        <v>2069.9630000000002</v>
      </c>
      <c r="AK11">
        <v>109.9</v>
      </c>
      <c r="AL11" s="4">
        <v>0.5</v>
      </c>
      <c r="AM11" t="s">
        <v>240</v>
      </c>
      <c r="AN11" t="s">
        <v>259</v>
      </c>
      <c r="AO11" t="s">
        <v>120</v>
      </c>
      <c r="AP11" t="s">
        <v>122</v>
      </c>
      <c r="AQ11" t="s">
        <v>119</v>
      </c>
      <c r="AR11" s="4">
        <v>1</v>
      </c>
    </row>
    <row r="12" spans="1:44" x14ac:dyDescent="0.25">
      <c r="A12" s="16" t="s">
        <v>138</v>
      </c>
      <c r="B12" s="18" t="str">
        <f t="shared" si="2"/>
        <v>Guilherme Thomasi Ronca</v>
      </c>
      <c r="C12" s="18" t="str">
        <f t="shared" si="0"/>
        <v>22005226</v>
      </c>
      <c r="D12" s="14">
        <f t="shared" si="1"/>
        <v>6.5</v>
      </c>
      <c r="E12" t="s">
        <v>159</v>
      </c>
      <c r="F12">
        <v>0</v>
      </c>
      <c r="G12" t="s">
        <v>22</v>
      </c>
      <c r="H12" s="4">
        <v>0</v>
      </c>
      <c r="I12">
        <v>0.50560000000000005</v>
      </c>
      <c r="J12">
        <v>0.30349999999999999</v>
      </c>
      <c r="K12">
        <v>1.67</v>
      </c>
      <c r="L12" s="4">
        <v>1</v>
      </c>
      <c r="M12" t="s">
        <v>178</v>
      </c>
      <c r="N12">
        <v>0.1605</v>
      </c>
      <c r="O12" t="s">
        <v>24</v>
      </c>
      <c r="P12" s="4">
        <v>0</v>
      </c>
      <c r="Q12" t="s">
        <v>194</v>
      </c>
      <c r="R12">
        <v>1</v>
      </c>
      <c r="S12" t="s">
        <v>200</v>
      </c>
      <c r="T12" s="4">
        <v>0</v>
      </c>
      <c r="U12" t="s">
        <v>210</v>
      </c>
      <c r="V12" t="s">
        <v>77</v>
      </c>
      <c r="W12" s="8">
        <v>1</v>
      </c>
      <c r="X12">
        <v>1</v>
      </c>
      <c r="Y12">
        <v>1</v>
      </c>
      <c r="Z12">
        <v>1</v>
      </c>
      <c r="AA12" s="4">
        <v>1</v>
      </c>
      <c r="AB12">
        <v>-4.7000000000000002E-3</v>
      </c>
      <c r="AC12">
        <v>-0.55689999999999995</v>
      </c>
      <c r="AD12">
        <v>2044.6030000000001</v>
      </c>
      <c r="AE12">
        <v>2070.06</v>
      </c>
      <c r="AF12">
        <v>109.86799999999999</v>
      </c>
      <c r="AG12" s="4">
        <v>1</v>
      </c>
      <c r="AH12" t="s">
        <v>97</v>
      </c>
      <c r="AI12">
        <v>2042.604</v>
      </c>
      <c r="AJ12">
        <v>2069.9630000000002</v>
      </c>
      <c r="AK12">
        <v>109.9</v>
      </c>
      <c r="AL12" s="4">
        <v>0.5</v>
      </c>
      <c r="AM12" t="s">
        <v>241</v>
      </c>
      <c r="AN12" t="s">
        <v>80</v>
      </c>
      <c r="AO12" t="s">
        <v>119</v>
      </c>
      <c r="AP12" t="s">
        <v>122</v>
      </c>
      <c r="AQ12" t="s">
        <v>119</v>
      </c>
      <c r="AR12" s="4">
        <v>1</v>
      </c>
    </row>
    <row r="13" spans="1:44" x14ac:dyDescent="0.25">
      <c r="A13" s="16" t="s">
        <v>139</v>
      </c>
      <c r="B13" s="18" t="str">
        <f t="shared" si="2"/>
        <v>João Paulo Bonagurio Ramirez</v>
      </c>
      <c r="C13" s="18" t="str">
        <f t="shared" si="0"/>
        <v>22012478</v>
      </c>
      <c r="D13" s="14">
        <f t="shared" si="1"/>
        <v>5.5</v>
      </c>
      <c r="E13" t="s">
        <v>160</v>
      </c>
      <c r="F13">
        <v>0</v>
      </c>
      <c r="G13" t="s">
        <v>22</v>
      </c>
      <c r="H13" s="4">
        <v>1</v>
      </c>
      <c r="I13">
        <v>0.51</v>
      </c>
      <c r="J13">
        <v>0.3</v>
      </c>
      <c r="K13">
        <v>1.7</v>
      </c>
      <c r="L13" s="4">
        <v>1</v>
      </c>
      <c r="M13" t="s">
        <v>179</v>
      </c>
      <c r="N13">
        <v>4.1000000000000002E-2</v>
      </c>
      <c r="O13" t="s">
        <v>22</v>
      </c>
      <c r="P13" s="4">
        <v>0.5</v>
      </c>
      <c r="Q13" t="s">
        <v>52</v>
      </c>
      <c r="R13">
        <v>0.16</v>
      </c>
      <c r="S13" t="s">
        <v>59</v>
      </c>
      <c r="T13" s="4">
        <v>1</v>
      </c>
      <c r="U13" t="s">
        <v>211</v>
      </c>
      <c r="V13" t="s">
        <v>77</v>
      </c>
      <c r="W13" s="8">
        <v>0.5</v>
      </c>
      <c r="X13">
        <v>2</v>
      </c>
      <c r="Y13">
        <v>1</v>
      </c>
      <c r="Z13">
        <v>2</v>
      </c>
      <c r="AA13" s="4">
        <v>0</v>
      </c>
      <c r="AB13">
        <v>-0.995</v>
      </c>
      <c r="AC13">
        <v>0.45800000000000002</v>
      </c>
      <c r="AD13">
        <v>2045.9760000000001</v>
      </c>
      <c r="AE13">
        <v>2078.8420000000001</v>
      </c>
      <c r="AF13">
        <v>103.354</v>
      </c>
      <c r="AG13" s="4">
        <v>0</v>
      </c>
      <c r="AH13" t="s">
        <v>92</v>
      </c>
      <c r="AI13">
        <v>2044.6030000000001</v>
      </c>
      <c r="AJ13">
        <v>2070.06</v>
      </c>
      <c r="AK13">
        <v>109.86799999999999</v>
      </c>
      <c r="AL13" s="4">
        <v>0</v>
      </c>
      <c r="AM13" t="s">
        <v>242</v>
      </c>
      <c r="AN13" t="s">
        <v>77</v>
      </c>
      <c r="AO13" t="s">
        <v>119</v>
      </c>
      <c r="AP13" t="s">
        <v>122</v>
      </c>
      <c r="AQ13" t="s">
        <v>119</v>
      </c>
      <c r="AR13" s="4">
        <v>1</v>
      </c>
    </row>
    <row r="14" spans="1:44" x14ac:dyDescent="0.25">
      <c r="A14" s="16" t="s">
        <v>140</v>
      </c>
      <c r="B14" s="18" t="str">
        <f t="shared" si="2"/>
        <v>Leonardo Roberto Amadio</v>
      </c>
      <c r="C14" s="18" t="str">
        <f t="shared" ref="C14:C27" si="3">RIGHT(A14,8)</f>
        <v>22013008</v>
      </c>
      <c r="D14" s="14">
        <f t="shared" si="1"/>
        <v>9</v>
      </c>
      <c r="E14" t="s">
        <v>161</v>
      </c>
      <c r="F14">
        <v>0</v>
      </c>
      <c r="G14" t="s">
        <v>22</v>
      </c>
      <c r="H14" s="4">
        <v>1</v>
      </c>
      <c r="I14">
        <v>0.51</v>
      </c>
      <c r="J14">
        <v>0.3</v>
      </c>
      <c r="K14">
        <v>1.7</v>
      </c>
      <c r="L14" s="4">
        <v>1</v>
      </c>
      <c r="M14" t="s">
        <v>180</v>
      </c>
      <c r="N14">
        <v>2.06E-2</v>
      </c>
      <c r="O14" t="s">
        <v>22</v>
      </c>
      <c r="P14" s="4">
        <v>1</v>
      </c>
      <c r="Q14" t="s">
        <v>195</v>
      </c>
      <c r="R14">
        <v>6.8999999999999999E-3</v>
      </c>
      <c r="S14" t="s">
        <v>59</v>
      </c>
      <c r="T14" s="4">
        <v>0</v>
      </c>
      <c r="U14" t="s">
        <v>212</v>
      </c>
      <c r="V14" t="s">
        <v>77</v>
      </c>
      <c r="W14" s="8">
        <v>1</v>
      </c>
      <c r="X14">
        <v>3</v>
      </c>
      <c r="Y14">
        <v>1</v>
      </c>
      <c r="Z14">
        <v>1</v>
      </c>
      <c r="AA14" s="4">
        <v>1</v>
      </c>
      <c r="AB14">
        <v>-0.52900000000000003</v>
      </c>
      <c r="AC14">
        <v>-2.7E-2</v>
      </c>
      <c r="AD14">
        <v>2047.1130000000001</v>
      </c>
      <c r="AE14">
        <v>2073.4430000000002</v>
      </c>
      <c r="AF14">
        <v>109.494</v>
      </c>
      <c r="AG14" s="4">
        <v>1</v>
      </c>
      <c r="AH14" t="s">
        <v>229</v>
      </c>
      <c r="AI14">
        <v>2045.114</v>
      </c>
      <c r="AJ14">
        <v>2073.4740000000002</v>
      </c>
      <c r="AK14">
        <v>109.51</v>
      </c>
      <c r="AL14" s="4">
        <v>1</v>
      </c>
      <c r="AM14" t="s">
        <v>243</v>
      </c>
      <c r="AN14" t="s">
        <v>226</v>
      </c>
      <c r="AO14" t="s">
        <v>119</v>
      </c>
      <c r="AP14" t="s">
        <v>122</v>
      </c>
      <c r="AQ14" t="s">
        <v>119</v>
      </c>
      <c r="AR14" s="4">
        <v>1</v>
      </c>
    </row>
    <row r="15" spans="1:44" x14ac:dyDescent="0.25">
      <c r="A15" s="16" t="s">
        <v>141</v>
      </c>
      <c r="B15" s="18" t="str">
        <f t="shared" si="2"/>
        <v>Leonardo Tagliati da Silva</v>
      </c>
      <c r="C15" s="18" t="str">
        <f t="shared" si="3"/>
        <v>22001700</v>
      </c>
      <c r="D15" s="14">
        <f t="shared" si="1"/>
        <v>9</v>
      </c>
      <c r="E15" t="s">
        <v>162</v>
      </c>
      <c r="F15">
        <v>1.9730000000000001E-9</v>
      </c>
      <c r="G15" t="s">
        <v>22</v>
      </c>
      <c r="H15" s="4">
        <v>1</v>
      </c>
      <c r="I15">
        <v>0.50560000000000005</v>
      </c>
      <c r="J15">
        <v>0.30349999999999999</v>
      </c>
      <c r="K15">
        <v>1.67</v>
      </c>
      <c r="L15" s="4">
        <v>1</v>
      </c>
      <c r="M15" t="s">
        <v>181</v>
      </c>
      <c r="N15">
        <v>1.9599999999999999E-2</v>
      </c>
      <c r="O15" t="s">
        <v>22</v>
      </c>
      <c r="P15" s="4">
        <v>1</v>
      </c>
      <c r="Q15" t="s">
        <v>52</v>
      </c>
      <c r="R15">
        <v>-0.157</v>
      </c>
      <c r="S15" t="s">
        <v>59</v>
      </c>
      <c r="T15" s="4">
        <v>1</v>
      </c>
      <c r="U15" t="s">
        <v>213</v>
      </c>
      <c r="V15" t="s">
        <v>77</v>
      </c>
      <c r="W15" s="8">
        <v>0.5</v>
      </c>
      <c r="X15">
        <v>3</v>
      </c>
      <c r="Y15">
        <v>1</v>
      </c>
      <c r="Z15">
        <v>1</v>
      </c>
      <c r="AA15" s="4">
        <v>1</v>
      </c>
      <c r="AB15">
        <v>-0.52910000000000001</v>
      </c>
      <c r="AC15">
        <v>-2.7099999999999999E-2</v>
      </c>
      <c r="AD15">
        <v>2047.1130000000001</v>
      </c>
      <c r="AE15">
        <v>2073.4430000000002</v>
      </c>
      <c r="AF15">
        <v>109.494</v>
      </c>
      <c r="AG15" s="4">
        <v>1</v>
      </c>
      <c r="AH15" t="s">
        <v>90</v>
      </c>
      <c r="AI15">
        <v>2045.114</v>
      </c>
      <c r="AJ15">
        <v>2073.4740000000002</v>
      </c>
      <c r="AK15">
        <v>109.51</v>
      </c>
      <c r="AL15" s="4">
        <v>1</v>
      </c>
      <c r="AM15" t="s">
        <v>244</v>
      </c>
      <c r="AN15" t="s">
        <v>260</v>
      </c>
      <c r="AO15" t="s">
        <v>119</v>
      </c>
      <c r="AP15" t="s">
        <v>122</v>
      </c>
      <c r="AQ15" t="s">
        <v>119</v>
      </c>
      <c r="AR15" s="4">
        <v>1</v>
      </c>
    </row>
    <row r="16" spans="1:44" x14ac:dyDescent="0.25">
      <c r="A16" s="16" t="s">
        <v>142</v>
      </c>
      <c r="B16" s="18" t="str">
        <f t="shared" si="2"/>
        <v>Lucas Gozze Crapino</v>
      </c>
      <c r="C16" s="18" t="str">
        <f t="shared" si="3"/>
        <v>22006672</v>
      </c>
      <c r="D16" s="14">
        <f t="shared" si="1"/>
        <v>7.5</v>
      </c>
      <c r="E16" t="s">
        <v>16</v>
      </c>
      <c r="F16">
        <v>1.9727E-9</v>
      </c>
      <c r="G16" t="s">
        <v>22</v>
      </c>
      <c r="H16" s="4">
        <v>1</v>
      </c>
      <c r="I16">
        <v>0.50560000000000005</v>
      </c>
      <c r="J16">
        <v>0.30349999999999999</v>
      </c>
      <c r="K16">
        <v>1.67</v>
      </c>
      <c r="L16" s="4">
        <v>1</v>
      </c>
      <c r="M16" t="s">
        <v>182</v>
      </c>
      <c r="N16">
        <v>1.9599999999999999E-2</v>
      </c>
      <c r="O16" t="s">
        <v>22</v>
      </c>
      <c r="P16" s="4">
        <v>0.5</v>
      </c>
      <c r="Q16" t="s">
        <v>55</v>
      </c>
      <c r="R16">
        <v>0.1575</v>
      </c>
      <c r="S16" t="s">
        <v>59</v>
      </c>
      <c r="T16" s="4">
        <v>1</v>
      </c>
      <c r="U16" t="s">
        <v>214</v>
      </c>
      <c r="V16" t="s">
        <v>77</v>
      </c>
      <c r="W16" s="9">
        <v>1</v>
      </c>
      <c r="X16">
        <v>2</v>
      </c>
      <c r="Y16">
        <v>1</v>
      </c>
      <c r="Z16">
        <v>1</v>
      </c>
      <c r="AA16" s="4">
        <v>0</v>
      </c>
      <c r="AB16">
        <v>-3.6299999999999999E-2</v>
      </c>
      <c r="AC16">
        <v>-0.52529999999999999</v>
      </c>
      <c r="AD16">
        <v>2046.5419999999999</v>
      </c>
      <c r="AE16">
        <v>2070.66</v>
      </c>
      <c r="AF16">
        <v>109.602</v>
      </c>
      <c r="AG16" s="4">
        <v>1</v>
      </c>
      <c r="AH16" t="s">
        <v>230</v>
      </c>
      <c r="AI16">
        <v>2042.604</v>
      </c>
      <c r="AJ16">
        <v>2069.9630000000002</v>
      </c>
      <c r="AK16">
        <v>109.9</v>
      </c>
      <c r="AL16" s="4">
        <v>0</v>
      </c>
      <c r="AM16" t="s">
        <v>245</v>
      </c>
      <c r="AN16" t="s">
        <v>261</v>
      </c>
      <c r="AO16" t="s">
        <v>119</v>
      </c>
      <c r="AP16" t="s">
        <v>122</v>
      </c>
      <c r="AQ16" t="s">
        <v>119</v>
      </c>
      <c r="AR16" s="4">
        <v>1</v>
      </c>
    </row>
    <row r="17" spans="1:44" x14ac:dyDescent="0.25">
      <c r="A17" s="16" t="s">
        <v>143</v>
      </c>
      <c r="B17" s="18" t="str">
        <f t="shared" si="2"/>
        <v>Lucas Olivares Borges da Silva</v>
      </c>
      <c r="C17" s="18" t="str">
        <f t="shared" si="3"/>
        <v>22008896</v>
      </c>
      <c r="D17" s="14">
        <f t="shared" si="1"/>
        <v>7.5</v>
      </c>
      <c r="E17" t="s">
        <v>163</v>
      </c>
      <c r="F17">
        <v>1.97265</v>
      </c>
      <c r="G17" t="s">
        <v>22</v>
      </c>
      <c r="H17" s="4">
        <v>1</v>
      </c>
      <c r="I17">
        <v>0.50570000000000004</v>
      </c>
      <c r="J17">
        <v>0.30349999999999999</v>
      </c>
      <c r="K17">
        <v>1.67</v>
      </c>
      <c r="L17" s="4">
        <v>1</v>
      </c>
      <c r="M17" t="s">
        <v>183</v>
      </c>
      <c r="N17">
        <v>1.9560000000000001E-2</v>
      </c>
      <c r="O17" t="s">
        <v>22</v>
      </c>
      <c r="P17" s="4">
        <v>1</v>
      </c>
      <c r="Q17" t="s">
        <v>52</v>
      </c>
      <c r="R17">
        <v>-0.1575</v>
      </c>
      <c r="S17" t="s">
        <v>59</v>
      </c>
      <c r="T17" s="4">
        <v>1</v>
      </c>
      <c r="U17" t="s">
        <v>215</v>
      </c>
      <c r="V17" t="s">
        <v>227</v>
      </c>
      <c r="W17" s="9">
        <v>0</v>
      </c>
      <c r="X17">
        <v>1</v>
      </c>
      <c r="Y17">
        <v>1</v>
      </c>
      <c r="Z17">
        <v>1</v>
      </c>
      <c r="AA17" s="4">
        <v>1</v>
      </c>
      <c r="AB17">
        <v>-4.7000000000000002E-3</v>
      </c>
      <c r="AC17">
        <v>-0.55689999999999995</v>
      </c>
      <c r="AD17">
        <v>2044.6030000000001</v>
      </c>
      <c r="AE17">
        <v>2070.06</v>
      </c>
      <c r="AF17">
        <v>109.86799999999999</v>
      </c>
      <c r="AG17" s="4">
        <v>1</v>
      </c>
      <c r="AH17" t="s">
        <v>97</v>
      </c>
      <c r="AI17">
        <v>2042.604</v>
      </c>
      <c r="AJ17">
        <v>2069.9630000000002</v>
      </c>
      <c r="AK17">
        <v>109.9</v>
      </c>
      <c r="AL17" s="4">
        <v>0.5</v>
      </c>
      <c r="AM17" t="s">
        <v>246</v>
      </c>
      <c r="AN17" t="s">
        <v>77</v>
      </c>
      <c r="AO17" t="s">
        <v>119</v>
      </c>
      <c r="AP17" t="s">
        <v>122</v>
      </c>
      <c r="AQ17" t="s">
        <v>119</v>
      </c>
      <c r="AR17" s="4">
        <v>1</v>
      </c>
    </row>
    <row r="18" spans="1:44" x14ac:dyDescent="0.25">
      <c r="A18" s="16" t="s">
        <v>144</v>
      </c>
      <c r="B18" s="18" t="str">
        <f t="shared" si="2"/>
        <v>Luis Gustavo Gonçalves Machado</v>
      </c>
      <c r="C18" s="18" t="str">
        <f t="shared" si="3"/>
        <v>21003220</v>
      </c>
      <c r="D18" s="14">
        <f t="shared" si="1"/>
        <v>4</v>
      </c>
      <c r="E18" t="s">
        <v>17</v>
      </c>
      <c r="F18">
        <v>0</v>
      </c>
      <c r="G18" t="s">
        <v>22</v>
      </c>
      <c r="H18" s="4">
        <v>1</v>
      </c>
      <c r="I18">
        <v>0.5</v>
      </c>
      <c r="J18">
        <v>0.3</v>
      </c>
      <c r="K18">
        <v>1.67</v>
      </c>
      <c r="L18" s="4">
        <v>1</v>
      </c>
      <c r="M18" t="s">
        <v>184</v>
      </c>
      <c r="N18">
        <v>3.9100000000000003E-2</v>
      </c>
      <c r="O18" t="s">
        <v>22</v>
      </c>
      <c r="P18" s="4">
        <v>0.5</v>
      </c>
      <c r="Q18" t="s">
        <v>52</v>
      </c>
      <c r="R18">
        <v>-0.1575</v>
      </c>
      <c r="S18" t="s">
        <v>59</v>
      </c>
      <c r="T18" s="4">
        <v>1</v>
      </c>
      <c r="U18" t="s">
        <v>216</v>
      </c>
      <c r="V18" t="s">
        <v>77</v>
      </c>
      <c r="W18" s="8">
        <v>0</v>
      </c>
      <c r="X18">
        <v>2</v>
      </c>
      <c r="Y18">
        <v>1</v>
      </c>
      <c r="Z18">
        <v>2</v>
      </c>
      <c r="AA18" s="4">
        <v>0</v>
      </c>
      <c r="AB18">
        <v>-0.995</v>
      </c>
      <c r="AC18">
        <v>0.45800000000000002</v>
      </c>
      <c r="AD18">
        <v>2045.9760000000001</v>
      </c>
      <c r="AE18">
        <v>2078.8420000000001</v>
      </c>
      <c r="AF18">
        <v>103.354</v>
      </c>
      <c r="AG18" s="4">
        <v>0</v>
      </c>
      <c r="AH18" t="s">
        <v>95</v>
      </c>
      <c r="AI18">
        <v>2046.2139999999999</v>
      </c>
      <c r="AJ18">
        <v>2066.9259999999999</v>
      </c>
      <c r="AK18">
        <v>112.82599999999999</v>
      </c>
      <c r="AL18" s="4">
        <v>0.5</v>
      </c>
      <c r="AM18" t="s">
        <v>247</v>
      </c>
      <c r="AN18" t="s">
        <v>262</v>
      </c>
      <c r="AO18" t="s">
        <v>122</v>
      </c>
      <c r="AP18" t="s">
        <v>122</v>
      </c>
      <c r="AQ18" t="s">
        <v>122</v>
      </c>
      <c r="AR18" s="4">
        <v>0</v>
      </c>
    </row>
    <row r="19" spans="1:44" x14ac:dyDescent="0.25">
      <c r="A19" s="16" t="s">
        <v>145</v>
      </c>
      <c r="B19" s="18" t="str">
        <f t="shared" si="2"/>
        <v xml:space="preserve">Matheus Santos Feitosa </v>
      </c>
      <c r="C19" s="18" t="str">
        <f t="shared" si="3"/>
        <v>20006284</v>
      </c>
      <c r="D19" s="14">
        <f t="shared" si="1"/>
        <v>6</v>
      </c>
      <c r="E19" t="s">
        <v>164</v>
      </c>
      <c r="F19">
        <v>1.9726543846517108E-9</v>
      </c>
      <c r="G19" t="s">
        <v>22</v>
      </c>
      <c r="H19" s="4">
        <v>1</v>
      </c>
      <c r="I19">
        <v>0.50564971751412424</v>
      </c>
      <c r="J19">
        <v>0.30353817504655489</v>
      </c>
      <c r="K19">
        <v>1.67</v>
      </c>
      <c r="L19" s="4">
        <v>1</v>
      </c>
      <c r="M19" t="s">
        <v>185</v>
      </c>
      <c r="N19">
        <v>1.956232700674124E-2</v>
      </c>
      <c r="O19" t="s">
        <v>22</v>
      </c>
      <c r="P19" s="4">
        <v>1</v>
      </c>
      <c r="Q19" t="s">
        <v>52</v>
      </c>
      <c r="R19">
        <v>0.15748597191363289</v>
      </c>
      <c r="S19" t="s">
        <v>59</v>
      </c>
      <c r="T19" s="4">
        <v>1</v>
      </c>
      <c r="U19" t="s">
        <v>217</v>
      </c>
      <c r="V19" t="s">
        <v>77</v>
      </c>
      <c r="W19" s="8">
        <v>0.5</v>
      </c>
      <c r="X19">
        <v>4</v>
      </c>
      <c r="Y19">
        <v>2</v>
      </c>
      <c r="Z19">
        <v>3</v>
      </c>
      <c r="AA19" s="5">
        <v>0</v>
      </c>
      <c r="AB19">
        <v>-0.52907599999999999</v>
      </c>
      <c r="AC19">
        <v>-2.7126000000000001E-2</v>
      </c>
      <c r="AD19">
        <v>2047.1126850000001</v>
      </c>
      <c r="AE19">
        <v>2073.443158</v>
      </c>
      <c r="AF19">
        <v>109.493629</v>
      </c>
      <c r="AG19" s="5">
        <v>0</v>
      </c>
      <c r="AH19" t="s">
        <v>90</v>
      </c>
      <c r="AI19">
        <v>2045.114</v>
      </c>
      <c r="AJ19">
        <v>2073.4740000000002</v>
      </c>
      <c r="AK19">
        <v>109.51</v>
      </c>
      <c r="AL19" s="4">
        <v>1</v>
      </c>
      <c r="AM19" t="s">
        <v>248</v>
      </c>
      <c r="AN19" t="s">
        <v>263</v>
      </c>
      <c r="AR19" s="4">
        <v>0</v>
      </c>
    </row>
    <row r="20" spans="1:44" x14ac:dyDescent="0.25">
      <c r="A20" s="16" t="s">
        <v>146</v>
      </c>
      <c r="B20" s="18" t="str">
        <f t="shared" si="2"/>
        <v>Murillo Penha Strina</v>
      </c>
      <c r="C20" s="18" t="str">
        <f t="shared" si="3"/>
        <v>22007300</v>
      </c>
      <c r="D20" s="14">
        <f t="shared" si="1"/>
        <v>7</v>
      </c>
      <c r="E20" t="s">
        <v>16</v>
      </c>
      <c r="F20">
        <v>0</v>
      </c>
      <c r="G20" t="s">
        <v>22</v>
      </c>
      <c r="H20" s="4">
        <v>1</v>
      </c>
      <c r="I20">
        <v>0.50560000000000005</v>
      </c>
      <c r="J20">
        <v>0.30349999999999999</v>
      </c>
      <c r="K20">
        <v>1.67</v>
      </c>
      <c r="L20" s="4">
        <v>1</v>
      </c>
      <c r="M20" t="s">
        <v>186</v>
      </c>
      <c r="N20">
        <v>1.9560000000000001E-2</v>
      </c>
      <c r="O20" t="s">
        <v>22</v>
      </c>
      <c r="P20" s="4">
        <v>1</v>
      </c>
      <c r="Q20" t="s">
        <v>52</v>
      </c>
      <c r="R20">
        <v>0.1575</v>
      </c>
      <c r="S20" t="s">
        <v>59</v>
      </c>
      <c r="T20" s="4">
        <v>1</v>
      </c>
      <c r="U20" t="s">
        <v>218</v>
      </c>
      <c r="V20" t="s">
        <v>77</v>
      </c>
      <c r="W20" s="8">
        <v>1</v>
      </c>
      <c r="X20">
        <v>2</v>
      </c>
      <c r="Y20">
        <v>1</v>
      </c>
      <c r="Z20">
        <v>2</v>
      </c>
      <c r="AA20" s="4">
        <v>0</v>
      </c>
      <c r="AB20">
        <v>-0.79700000000000004</v>
      </c>
      <c r="AC20">
        <v>0.31</v>
      </c>
      <c r="AD20">
        <v>2040.6</v>
      </c>
      <c r="AE20">
        <v>2023.5940000000001</v>
      </c>
      <c r="AF20">
        <v>128.61699999999999</v>
      </c>
      <c r="AG20" s="4">
        <v>0</v>
      </c>
      <c r="AH20" t="s">
        <v>231</v>
      </c>
      <c r="AI20">
        <v>2049.732</v>
      </c>
      <c r="AJ20">
        <v>2080.12</v>
      </c>
      <c r="AK20">
        <v>105.072</v>
      </c>
      <c r="AL20" s="4">
        <v>0</v>
      </c>
      <c r="AM20" t="s">
        <v>249</v>
      </c>
      <c r="AN20" t="s">
        <v>116</v>
      </c>
      <c r="AO20" t="s">
        <v>119</v>
      </c>
      <c r="AP20" t="s">
        <v>122</v>
      </c>
      <c r="AQ20" t="s">
        <v>119</v>
      </c>
      <c r="AR20" s="4">
        <v>1</v>
      </c>
    </row>
    <row r="21" spans="1:44" x14ac:dyDescent="0.25">
      <c r="A21" s="16" t="s">
        <v>147</v>
      </c>
      <c r="B21" s="18" t="str">
        <f t="shared" si="2"/>
        <v>Otto Camargo Kuchkarian</v>
      </c>
      <c r="C21" s="18" t="str">
        <f t="shared" si="3"/>
        <v>22005714</v>
      </c>
      <c r="D21" s="14">
        <f t="shared" si="1"/>
        <v>7.5</v>
      </c>
      <c r="E21" t="s">
        <v>165</v>
      </c>
      <c r="F21">
        <v>1.9719999999999998E-9</v>
      </c>
      <c r="H21" s="4">
        <v>1</v>
      </c>
      <c r="I21">
        <v>0.51</v>
      </c>
      <c r="J21">
        <v>0.3</v>
      </c>
      <c r="K21">
        <v>1.7</v>
      </c>
      <c r="L21" s="4">
        <v>1</v>
      </c>
      <c r="M21" t="s">
        <v>187</v>
      </c>
      <c r="N21">
        <v>1.9599999999999999E-2</v>
      </c>
      <c r="O21" t="s">
        <v>22</v>
      </c>
      <c r="P21" s="4">
        <v>0.5</v>
      </c>
      <c r="Q21" t="s">
        <v>52</v>
      </c>
      <c r="R21">
        <v>0.157</v>
      </c>
      <c r="S21" t="s">
        <v>59</v>
      </c>
      <c r="T21" s="4">
        <v>1</v>
      </c>
      <c r="U21" t="s">
        <v>219</v>
      </c>
      <c r="V21" t="s">
        <v>77</v>
      </c>
      <c r="W21" s="8">
        <v>0</v>
      </c>
      <c r="X21">
        <v>3</v>
      </c>
      <c r="Y21">
        <v>1</v>
      </c>
      <c r="Z21">
        <v>1</v>
      </c>
      <c r="AA21" s="4">
        <v>1</v>
      </c>
      <c r="AB21">
        <v>-0.52900000000000003</v>
      </c>
      <c r="AC21">
        <v>-2.7E-2</v>
      </c>
      <c r="AD21">
        <v>2047.1130000000001</v>
      </c>
      <c r="AE21">
        <v>2073.4430000000002</v>
      </c>
      <c r="AF21">
        <v>109.494</v>
      </c>
      <c r="AG21" s="4">
        <v>1</v>
      </c>
      <c r="AH21" t="s">
        <v>90</v>
      </c>
      <c r="AI21">
        <v>2045.114</v>
      </c>
      <c r="AJ21">
        <v>2073.4740000000002</v>
      </c>
      <c r="AK21">
        <v>109.51</v>
      </c>
      <c r="AL21" s="4">
        <v>1</v>
      </c>
      <c r="AM21" t="s">
        <v>250</v>
      </c>
      <c r="AN21" t="s">
        <v>79</v>
      </c>
      <c r="AO21" t="s">
        <v>119</v>
      </c>
      <c r="AP21" t="s">
        <v>122</v>
      </c>
      <c r="AQ21" t="s">
        <v>119</v>
      </c>
      <c r="AR21" s="4">
        <v>1</v>
      </c>
    </row>
    <row r="22" spans="1:44" x14ac:dyDescent="0.25">
      <c r="A22" s="16" t="s">
        <v>148</v>
      </c>
      <c r="B22" s="18" t="str">
        <f t="shared" si="2"/>
        <v>Rafael Assanti</v>
      </c>
      <c r="C22" s="18" t="str">
        <f t="shared" si="3"/>
        <v>22014640</v>
      </c>
      <c r="D22" s="14">
        <f t="shared" si="1"/>
        <v>7.5</v>
      </c>
      <c r="E22" t="s">
        <v>17</v>
      </c>
      <c r="F22">
        <v>0</v>
      </c>
      <c r="G22" t="s">
        <v>22</v>
      </c>
      <c r="H22" s="4">
        <v>1</v>
      </c>
      <c r="I22">
        <v>0.51</v>
      </c>
      <c r="J22">
        <v>0.3</v>
      </c>
      <c r="K22">
        <v>1.7</v>
      </c>
      <c r="L22" s="4">
        <v>1</v>
      </c>
      <c r="M22" t="s">
        <v>176</v>
      </c>
      <c r="N22">
        <v>3.9E-2</v>
      </c>
      <c r="O22" t="s">
        <v>22</v>
      </c>
      <c r="P22" s="4">
        <v>0.5</v>
      </c>
      <c r="Q22" t="s">
        <v>196</v>
      </c>
      <c r="R22">
        <v>0.157</v>
      </c>
      <c r="S22" t="s">
        <v>59</v>
      </c>
      <c r="T22" s="4">
        <v>1</v>
      </c>
      <c r="U22" t="s">
        <v>220</v>
      </c>
      <c r="V22" t="s">
        <v>77</v>
      </c>
      <c r="W22" s="8">
        <v>0</v>
      </c>
      <c r="X22">
        <v>3</v>
      </c>
      <c r="Y22">
        <v>1</v>
      </c>
      <c r="Z22">
        <v>1</v>
      </c>
      <c r="AA22" s="4">
        <v>1</v>
      </c>
      <c r="AB22">
        <v>-0.52900000000000003</v>
      </c>
      <c r="AC22">
        <v>-2.7E-2</v>
      </c>
      <c r="AD22">
        <v>2047.1130000000001</v>
      </c>
      <c r="AE22">
        <v>2073.4430000000002</v>
      </c>
      <c r="AF22">
        <v>109.494</v>
      </c>
      <c r="AG22" s="4">
        <v>1</v>
      </c>
      <c r="AH22" t="s">
        <v>90</v>
      </c>
      <c r="AI22">
        <v>2045.114</v>
      </c>
      <c r="AJ22">
        <v>2073.4740000000002</v>
      </c>
      <c r="AK22">
        <v>109.51</v>
      </c>
      <c r="AL22" s="4">
        <v>1</v>
      </c>
      <c r="AM22" t="s">
        <v>251</v>
      </c>
      <c r="AN22" t="s">
        <v>79</v>
      </c>
      <c r="AO22" t="s">
        <v>119</v>
      </c>
      <c r="AP22" t="s">
        <v>122</v>
      </c>
      <c r="AQ22" t="s">
        <v>119</v>
      </c>
      <c r="AR22" s="4">
        <v>1</v>
      </c>
    </row>
    <row r="23" spans="1:44" x14ac:dyDescent="0.25">
      <c r="A23" s="16" t="s">
        <v>149</v>
      </c>
      <c r="B23" s="18" t="str">
        <f t="shared" si="2"/>
        <v>Rafael Maciel Bertani</v>
      </c>
      <c r="C23" s="18" t="str">
        <f t="shared" si="3"/>
        <v>21006342</v>
      </c>
      <c r="D23" s="14">
        <f t="shared" si="1"/>
        <v>7.5</v>
      </c>
      <c r="E23" t="s">
        <v>154</v>
      </c>
      <c r="F23">
        <v>1.9727E-9</v>
      </c>
      <c r="G23" t="s">
        <v>22</v>
      </c>
      <c r="H23" s="4">
        <v>1</v>
      </c>
      <c r="I23">
        <v>0.50560000000000005</v>
      </c>
      <c r="J23">
        <v>0.30349999999999999</v>
      </c>
      <c r="K23">
        <v>1.67</v>
      </c>
      <c r="L23" s="4">
        <v>1</v>
      </c>
      <c r="M23" t="s">
        <v>188</v>
      </c>
      <c r="N23">
        <v>3.9100000000000003E-2</v>
      </c>
      <c r="O23" t="s">
        <v>22</v>
      </c>
      <c r="P23" s="4">
        <v>0.5</v>
      </c>
      <c r="Q23" t="s">
        <v>197</v>
      </c>
      <c r="R23">
        <v>0.1575</v>
      </c>
      <c r="S23" t="s">
        <v>59</v>
      </c>
      <c r="T23" s="4">
        <v>1</v>
      </c>
      <c r="U23" t="s">
        <v>221</v>
      </c>
      <c r="V23" t="s">
        <v>77</v>
      </c>
      <c r="W23" s="8">
        <v>0</v>
      </c>
      <c r="X23">
        <v>3</v>
      </c>
      <c r="Y23">
        <v>1</v>
      </c>
      <c r="Z23">
        <v>1</v>
      </c>
      <c r="AA23" s="4">
        <v>1</v>
      </c>
      <c r="AB23">
        <v>-0.52910000000000001</v>
      </c>
      <c r="AC23">
        <v>-2.7099999999999999E-2</v>
      </c>
      <c r="AD23">
        <v>2047.1130000000001</v>
      </c>
      <c r="AE23">
        <v>2073.4430000000002</v>
      </c>
      <c r="AF23">
        <v>109.494</v>
      </c>
      <c r="AG23" s="4">
        <v>1</v>
      </c>
      <c r="AH23" t="s">
        <v>90</v>
      </c>
      <c r="AI23">
        <v>2045.114</v>
      </c>
      <c r="AJ23">
        <v>2073.4740000000002</v>
      </c>
      <c r="AK23">
        <v>109.51</v>
      </c>
      <c r="AL23" s="4">
        <v>1</v>
      </c>
      <c r="AM23" t="s">
        <v>252</v>
      </c>
      <c r="AN23" t="s">
        <v>78</v>
      </c>
      <c r="AO23" t="s">
        <v>119</v>
      </c>
      <c r="AP23" t="s">
        <v>122</v>
      </c>
      <c r="AQ23" t="s">
        <v>119</v>
      </c>
      <c r="AR23" s="4">
        <v>1</v>
      </c>
    </row>
    <row r="24" spans="1:44" x14ac:dyDescent="0.25">
      <c r="A24" s="16" t="s">
        <v>150</v>
      </c>
      <c r="B24" s="18" t="str">
        <f t="shared" si="2"/>
        <v>Rodrigo Reis Monasterios Morales</v>
      </c>
      <c r="C24" s="18" t="str">
        <f t="shared" si="3"/>
        <v>22014322</v>
      </c>
      <c r="D24" s="14">
        <f t="shared" si="1"/>
        <v>2</v>
      </c>
      <c r="E24" t="s">
        <v>17</v>
      </c>
      <c r="F24">
        <v>1.9726543846499998E-9</v>
      </c>
      <c r="G24" t="s">
        <v>22</v>
      </c>
      <c r="H24" s="4">
        <v>1</v>
      </c>
      <c r="I24">
        <v>0.50564971751412424</v>
      </c>
      <c r="J24">
        <v>0.30353817504655489</v>
      </c>
      <c r="K24">
        <v>1.67</v>
      </c>
      <c r="L24" s="4">
        <v>1</v>
      </c>
      <c r="M24" t="s">
        <v>189</v>
      </c>
      <c r="N24">
        <v>5.33E-2</v>
      </c>
      <c r="O24" t="s">
        <v>24</v>
      </c>
      <c r="P24" s="4">
        <v>0</v>
      </c>
      <c r="Q24" t="s">
        <v>198</v>
      </c>
      <c r="R24">
        <v>0.98970000000000002</v>
      </c>
      <c r="S24" t="s">
        <v>59</v>
      </c>
      <c r="T24" s="4">
        <v>0</v>
      </c>
      <c r="U24" t="s">
        <v>222</v>
      </c>
      <c r="V24" t="s">
        <v>228</v>
      </c>
      <c r="W24" s="9">
        <v>0</v>
      </c>
      <c r="X24">
        <v>4</v>
      </c>
      <c r="Y24">
        <v>2</v>
      </c>
      <c r="Z24">
        <v>3</v>
      </c>
      <c r="AA24" s="4">
        <v>0</v>
      </c>
      <c r="AB24">
        <v>-2.194</v>
      </c>
      <c r="AC24">
        <v>0.70399999999999996</v>
      </c>
      <c r="AD24">
        <v>2039.0830000000001</v>
      </c>
      <c r="AE24">
        <v>2108.2869999999998</v>
      </c>
      <c r="AF24">
        <v>102.377</v>
      </c>
      <c r="AG24" s="4">
        <v>0</v>
      </c>
      <c r="AH24" t="s">
        <v>95</v>
      </c>
      <c r="AI24">
        <v>2046.2139999999999</v>
      </c>
      <c r="AJ24">
        <v>2066.9259999999999</v>
      </c>
      <c r="AK24">
        <v>112.82599999999999</v>
      </c>
      <c r="AL24" s="4">
        <v>0</v>
      </c>
      <c r="AM24" t="s">
        <v>253</v>
      </c>
      <c r="AN24" t="s">
        <v>228</v>
      </c>
      <c r="AO24" t="s">
        <v>122</v>
      </c>
      <c r="AP24" t="s">
        <v>122</v>
      </c>
      <c r="AQ24" t="s">
        <v>122</v>
      </c>
      <c r="AR24" s="4">
        <v>0</v>
      </c>
    </row>
    <row r="25" spans="1:44" x14ac:dyDescent="0.25">
      <c r="A25" s="16" t="s">
        <v>151</v>
      </c>
      <c r="B25" s="18" t="str">
        <f t="shared" si="2"/>
        <v>Tiago Tadeu de Azevedo</v>
      </c>
      <c r="C25" s="18" t="str">
        <f t="shared" si="3"/>
        <v>22008560</v>
      </c>
      <c r="D25" s="14">
        <f t="shared" si="1"/>
        <v>5</v>
      </c>
      <c r="E25" t="s">
        <v>156</v>
      </c>
      <c r="F25">
        <v>1.9726543846517108E-9</v>
      </c>
      <c r="G25" t="s">
        <v>22</v>
      </c>
      <c r="H25" s="4">
        <v>1</v>
      </c>
      <c r="I25">
        <v>0.51</v>
      </c>
      <c r="J25">
        <v>0.3</v>
      </c>
      <c r="K25">
        <v>1.67</v>
      </c>
      <c r="L25" s="4">
        <v>1</v>
      </c>
      <c r="M25" t="s">
        <v>190</v>
      </c>
      <c r="N25">
        <v>1.956232700674124E-2</v>
      </c>
      <c r="O25" t="s">
        <v>22</v>
      </c>
      <c r="P25" s="4">
        <v>0.5</v>
      </c>
      <c r="Q25" t="s">
        <v>193</v>
      </c>
      <c r="R25">
        <v>0.1575</v>
      </c>
      <c r="S25" t="s">
        <v>59</v>
      </c>
      <c r="T25" s="4">
        <v>1</v>
      </c>
      <c r="U25" t="s">
        <v>223</v>
      </c>
      <c r="V25" t="s">
        <v>77</v>
      </c>
      <c r="W25" s="8">
        <v>0</v>
      </c>
      <c r="X25">
        <v>1</v>
      </c>
      <c r="Y25">
        <v>1</v>
      </c>
      <c r="Z25">
        <v>1</v>
      </c>
      <c r="AA25" s="4">
        <v>0</v>
      </c>
      <c r="AB25">
        <v>-4.7000000000000002E-3</v>
      </c>
      <c r="AC25">
        <v>-0.55689999999999995</v>
      </c>
      <c r="AD25">
        <v>2044.6030000000001</v>
      </c>
      <c r="AE25">
        <v>2070.06</v>
      </c>
      <c r="AF25">
        <v>109.86799999999999</v>
      </c>
      <c r="AG25" s="4">
        <v>0</v>
      </c>
      <c r="AH25" t="s">
        <v>92</v>
      </c>
      <c r="AI25">
        <v>2044.6030000000001</v>
      </c>
      <c r="AJ25">
        <v>2070.06</v>
      </c>
      <c r="AK25">
        <v>109.86799999999999</v>
      </c>
      <c r="AL25" s="4">
        <v>0.5</v>
      </c>
      <c r="AM25" t="s">
        <v>254</v>
      </c>
      <c r="AN25" t="s">
        <v>116</v>
      </c>
      <c r="AO25" t="s">
        <v>119</v>
      </c>
      <c r="AP25" t="s">
        <v>122</v>
      </c>
      <c r="AQ25" t="s">
        <v>119</v>
      </c>
      <c r="AR25" s="4">
        <v>1</v>
      </c>
    </row>
    <row r="26" spans="1:44" x14ac:dyDescent="0.25">
      <c r="A26" s="16" t="s">
        <v>152</v>
      </c>
      <c r="B26" s="18" t="str">
        <f t="shared" si="2"/>
        <v>Victor Augusto de Gasperi</v>
      </c>
      <c r="C26" s="18" t="str">
        <f t="shared" si="3"/>
        <v>22007652</v>
      </c>
      <c r="D26" s="14">
        <f t="shared" si="1"/>
        <v>6</v>
      </c>
      <c r="E26" t="s">
        <v>154</v>
      </c>
      <c r="F26">
        <v>1.9726E-9</v>
      </c>
      <c r="G26" t="s">
        <v>22</v>
      </c>
      <c r="H26" s="4">
        <v>1</v>
      </c>
      <c r="I26">
        <v>0.50560000000000005</v>
      </c>
      <c r="J26">
        <v>0.30349999999999999</v>
      </c>
      <c r="K26">
        <v>1.67</v>
      </c>
      <c r="L26" s="4">
        <v>1</v>
      </c>
      <c r="M26" t="s">
        <v>191</v>
      </c>
      <c r="N26">
        <v>4.1200000000000001E-2</v>
      </c>
      <c r="O26" t="s">
        <v>22</v>
      </c>
      <c r="P26" s="4">
        <v>0.5</v>
      </c>
      <c r="Q26" t="s">
        <v>52</v>
      </c>
      <c r="R26">
        <v>0.1575</v>
      </c>
      <c r="S26" t="s">
        <v>59</v>
      </c>
      <c r="T26" s="4">
        <v>1</v>
      </c>
      <c r="U26" t="s">
        <v>224</v>
      </c>
      <c r="V26" t="s">
        <v>77</v>
      </c>
      <c r="W26" s="8">
        <v>0.5</v>
      </c>
      <c r="X26">
        <v>1</v>
      </c>
      <c r="Y26">
        <v>1</v>
      </c>
      <c r="Z26">
        <v>1</v>
      </c>
      <c r="AA26" s="4">
        <v>0</v>
      </c>
      <c r="AB26">
        <v>-4.7000000000000002E-3</v>
      </c>
      <c r="AC26">
        <v>-0.55689999999999995</v>
      </c>
      <c r="AD26">
        <v>2044.6030000000001</v>
      </c>
      <c r="AE26">
        <v>2070.06</v>
      </c>
      <c r="AF26">
        <v>109.86799999999999</v>
      </c>
      <c r="AG26" s="4">
        <v>0</v>
      </c>
      <c r="AH26" t="s">
        <v>97</v>
      </c>
      <c r="AI26">
        <v>2042.604</v>
      </c>
      <c r="AJ26">
        <v>2069.9630000000002</v>
      </c>
      <c r="AK26">
        <v>109.9</v>
      </c>
      <c r="AL26" s="4">
        <v>0.5</v>
      </c>
      <c r="AM26" t="s">
        <v>255</v>
      </c>
      <c r="AN26" t="s">
        <v>264</v>
      </c>
      <c r="AO26" t="s">
        <v>119</v>
      </c>
      <c r="AP26" t="s">
        <v>122</v>
      </c>
      <c r="AQ26" t="s">
        <v>119</v>
      </c>
      <c r="AR26" s="4">
        <v>1</v>
      </c>
    </row>
    <row r="27" spans="1:44" x14ac:dyDescent="0.25">
      <c r="A27" s="16" t="s">
        <v>153</v>
      </c>
      <c r="B27" s="18" t="str">
        <f t="shared" si="2"/>
        <v>Vinicius Garcia Imendes Dechechi</v>
      </c>
      <c r="C27" s="18" t="str">
        <f t="shared" si="3"/>
        <v>22015680</v>
      </c>
      <c r="D27" s="14">
        <f t="shared" si="1"/>
        <v>3.5</v>
      </c>
      <c r="H27" s="4">
        <v>0</v>
      </c>
      <c r="I27">
        <v>0.50560000000000005</v>
      </c>
      <c r="J27">
        <v>0.30349999999999999</v>
      </c>
      <c r="K27">
        <v>1.67</v>
      </c>
      <c r="L27" s="4">
        <v>1</v>
      </c>
      <c r="M27" t="s">
        <v>192</v>
      </c>
      <c r="N27">
        <v>3.9125E-2</v>
      </c>
      <c r="O27" t="s">
        <v>22</v>
      </c>
      <c r="P27" s="4">
        <v>0.5</v>
      </c>
      <c r="Q27" t="s">
        <v>52</v>
      </c>
      <c r="R27">
        <v>0.1575</v>
      </c>
      <c r="S27" t="s">
        <v>59</v>
      </c>
      <c r="T27" s="4">
        <v>1</v>
      </c>
      <c r="U27" t="s">
        <v>225</v>
      </c>
      <c r="V27" t="s">
        <v>77</v>
      </c>
      <c r="W27" s="8">
        <v>0</v>
      </c>
      <c r="X27">
        <v>2</v>
      </c>
      <c r="Y27">
        <v>1</v>
      </c>
      <c r="Z27">
        <v>3</v>
      </c>
      <c r="AA27" s="4">
        <v>0</v>
      </c>
      <c r="AB27">
        <v>-0.79700000000000004</v>
      </c>
      <c r="AC27">
        <v>0.31</v>
      </c>
      <c r="AD27">
        <v>2040.6</v>
      </c>
      <c r="AE27">
        <v>2023.5940000000001</v>
      </c>
      <c r="AF27">
        <v>128.61699999999999</v>
      </c>
      <c r="AG27" s="4">
        <v>0</v>
      </c>
      <c r="AH27" t="s">
        <v>94</v>
      </c>
      <c r="AI27">
        <v>2046.2139999999999</v>
      </c>
      <c r="AJ27">
        <v>2066.9259999999999</v>
      </c>
      <c r="AK27">
        <v>112.82599999999999</v>
      </c>
      <c r="AL27" s="4">
        <v>0</v>
      </c>
      <c r="AM27" t="s">
        <v>256</v>
      </c>
      <c r="AN27" t="s">
        <v>77</v>
      </c>
      <c r="AO27" t="s">
        <v>119</v>
      </c>
      <c r="AP27" t="s">
        <v>122</v>
      </c>
      <c r="AQ27" t="s">
        <v>119</v>
      </c>
      <c r="AR27" s="4">
        <v>1</v>
      </c>
    </row>
  </sheetData>
  <autoFilter ref="A1:AQ27" xr:uid="{A980EF60-BF42-47CC-B078-40D3B4E82E5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5D50-84C4-45AC-9CCE-668ADB59E897}">
  <dimension ref="A1:F39"/>
  <sheetViews>
    <sheetView topLeftCell="A32" workbookViewId="0">
      <selection sqref="A1:B39"/>
    </sheetView>
  </sheetViews>
  <sheetFormatPr defaultRowHeight="15" x14ac:dyDescent="0.25"/>
  <cols>
    <col min="1" max="1" width="38.28515625" bestFit="1" customWidth="1"/>
  </cols>
  <sheetData>
    <row r="1" spans="1:6" x14ac:dyDescent="0.25">
      <c r="A1" s="26" t="s">
        <v>579</v>
      </c>
      <c r="B1" s="27" t="s">
        <v>525</v>
      </c>
      <c r="C1" s="26" t="s">
        <v>280</v>
      </c>
      <c r="D1" s="28" t="s">
        <v>526</v>
      </c>
      <c r="E1" s="28" t="s">
        <v>527</v>
      </c>
      <c r="F1" s="28" t="s">
        <v>525</v>
      </c>
    </row>
    <row r="2" spans="1:6" x14ac:dyDescent="0.25">
      <c r="A2" t="s">
        <v>281</v>
      </c>
      <c r="B2" s="12">
        <v>10</v>
      </c>
      <c r="C2" s="2" t="s">
        <v>528</v>
      </c>
      <c r="D2" s="2">
        <v>1</v>
      </c>
      <c r="E2" s="2">
        <v>1</v>
      </c>
      <c r="F2" s="2">
        <v>1</v>
      </c>
    </row>
    <row r="3" spans="1:6" x14ac:dyDescent="0.25">
      <c r="A3" t="s">
        <v>529</v>
      </c>
      <c r="B3" s="12">
        <v>10</v>
      </c>
      <c r="C3" s="2" t="s">
        <v>528</v>
      </c>
      <c r="D3" s="2">
        <v>1</v>
      </c>
      <c r="E3" s="2">
        <v>1</v>
      </c>
      <c r="F3" s="2">
        <v>1</v>
      </c>
    </row>
    <row r="4" spans="1:6" x14ac:dyDescent="0.25">
      <c r="A4" t="s">
        <v>530</v>
      </c>
      <c r="B4" s="12">
        <v>5</v>
      </c>
      <c r="C4" s="2" t="s">
        <v>531</v>
      </c>
      <c r="D4" s="2">
        <v>0</v>
      </c>
      <c r="E4" s="2">
        <v>1</v>
      </c>
      <c r="F4" s="2">
        <v>0</v>
      </c>
    </row>
    <row r="5" spans="1:6" x14ac:dyDescent="0.25">
      <c r="A5" t="s">
        <v>532</v>
      </c>
      <c r="B5" s="12">
        <v>10</v>
      </c>
      <c r="C5" s="2" t="s">
        <v>533</v>
      </c>
      <c r="D5" s="2">
        <v>1</v>
      </c>
      <c r="E5" s="2">
        <v>1</v>
      </c>
      <c r="F5" s="2">
        <v>1</v>
      </c>
    </row>
    <row r="6" spans="1:6" x14ac:dyDescent="0.25">
      <c r="A6" t="s">
        <v>534</v>
      </c>
      <c r="B6" s="12">
        <v>7</v>
      </c>
      <c r="C6" s="2" t="s">
        <v>535</v>
      </c>
      <c r="D6" s="2">
        <v>1</v>
      </c>
      <c r="E6" s="2">
        <v>1</v>
      </c>
      <c r="F6" s="2">
        <v>0</v>
      </c>
    </row>
    <row r="7" spans="1:6" x14ac:dyDescent="0.25">
      <c r="A7" t="s">
        <v>284</v>
      </c>
      <c r="B7" s="12">
        <v>7</v>
      </c>
      <c r="C7" s="2" t="s">
        <v>536</v>
      </c>
      <c r="D7" s="2">
        <v>0.5</v>
      </c>
      <c r="E7" s="2">
        <v>1</v>
      </c>
      <c r="F7" s="2">
        <v>1</v>
      </c>
    </row>
    <row r="8" spans="1:6" x14ac:dyDescent="0.25">
      <c r="A8" t="s">
        <v>285</v>
      </c>
      <c r="B8" s="12">
        <v>7</v>
      </c>
      <c r="C8" s="2" t="s">
        <v>537</v>
      </c>
      <c r="D8" s="2">
        <v>1</v>
      </c>
      <c r="E8" s="2">
        <v>1</v>
      </c>
      <c r="F8" s="2">
        <v>0</v>
      </c>
    </row>
    <row r="9" spans="1:6" x14ac:dyDescent="0.25">
      <c r="A9" t="s">
        <v>308</v>
      </c>
      <c r="B9" s="12">
        <v>10</v>
      </c>
      <c r="C9" s="2" t="s">
        <v>538</v>
      </c>
      <c r="D9" s="2">
        <v>1</v>
      </c>
      <c r="E9" s="2">
        <v>1</v>
      </c>
      <c r="F9" s="2">
        <v>1</v>
      </c>
    </row>
    <row r="10" spans="1:6" x14ac:dyDescent="0.25">
      <c r="A10" t="s">
        <v>539</v>
      </c>
      <c r="B10" s="12">
        <v>0</v>
      </c>
      <c r="C10" s="2" t="s">
        <v>540</v>
      </c>
      <c r="D10" s="2"/>
      <c r="E10" s="2"/>
      <c r="F10" s="2"/>
    </row>
    <row r="11" spans="1:6" x14ac:dyDescent="0.25">
      <c r="A11" t="s">
        <v>310</v>
      </c>
      <c r="B11" s="12">
        <v>10</v>
      </c>
      <c r="C11" s="2" t="s">
        <v>541</v>
      </c>
      <c r="D11" s="2">
        <v>1</v>
      </c>
      <c r="E11" s="2">
        <v>1</v>
      </c>
      <c r="F11" s="2">
        <v>1</v>
      </c>
    </row>
    <row r="12" spans="1:6" x14ac:dyDescent="0.25">
      <c r="A12" t="s">
        <v>542</v>
      </c>
      <c r="B12" s="12">
        <v>10</v>
      </c>
      <c r="C12" s="2" t="s">
        <v>543</v>
      </c>
      <c r="D12" s="2">
        <v>1</v>
      </c>
      <c r="E12" s="2">
        <v>1</v>
      </c>
      <c r="F12" s="2">
        <v>1</v>
      </c>
    </row>
    <row r="13" spans="1:6" x14ac:dyDescent="0.25">
      <c r="A13" t="s">
        <v>286</v>
      </c>
      <c r="B13" s="12">
        <v>0</v>
      </c>
      <c r="C13" s="2" t="s">
        <v>544</v>
      </c>
      <c r="D13" s="2"/>
      <c r="E13" s="2"/>
      <c r="F13" s="2"/>
    </row>
    <row r="14" spans="1:6" x14ac:dyDescent="0.25">
      <c r="A14" s="6" t="s">
        <v>287</v>
      </c>
      <c r="B14" s="12">
        <v>10</v>
      </c>
      <c r="C14" s="29" t="s">
        <v>545</v>
      </c>
      <c r="D14" s="2">
        <v>1</v>
      </c>
      <c r="E14" s="2">
        <v>1</v>
      </c>
      <c r="F14" s="2">
        <v>1</v>
      </c>
    </row>
    <row r="15" spans="1:6" x14ac:dyDescent="0.25">
      <c r="A15" t="s">
        <v>288</v>
      </c>
      <c r="B15" s="12">
        <v>7</v>
      </c>
      <c r="C15" s="2" t="s">
        <v>546</v>
      </c>
      <c r="D15" s="2">
        <v>0.5</v>
      </c>
      <c r="E15" s="2">
        <v>0.5</v>
      </c>
      <c r="F15" s="2">
        <v>1</v>
      </c>
    </row>
    <row r="16" spans="1:6" x14ac:dyDescent="0.25">
      <c r="A16" t="s">
        <v>289</v>
      </c>
      <c r="B16" s="12">
        <v>10</v>
      </c>
      <c r="C16" s="2" t="s">
        <v>547</v>
      </c>
      <c r="D16" s="2">
        <v>1</v>
      </c>
      <c r="E16" s="2">
        <v>1</v>
      </c>
      <c r="F16" s="2">
        <v>1</v>
      </c>
    </row>
    <row r="17" spans="1:6" x14ac:dyDescent="0.25">
      <c r="A17" s="6" t="s">
        <v>290</v>
      </c>
      <c r="B17" s="12">
        <v>5</v>
      </c>
      <c r="C17" s="29" t="s">
        <v>548</v>
      </c>
      <c r="D17" s="29">
        <v>0</v>
      </c>
      <c r="E17" s="29">
        <v>0</v>
      </c>
      <c r="F17" s="29">
        <v>1</v>
      </c>
    </row>
    <row r="18" spans="1:6" x14ac:dyDescent="0.25">
      <c r="A18" s="6" t="s">
        <v>549</v>
      </c>
      <c r="B18" s="12">
        <v>5</v>
      </c>
      <c r="C18" s="29" t="s">
        <v>548</v>
      </c>
      <c r="D18" s="29">
        <v>0.5</v>
      </c>
      <c r="E18" s="29">
        <v>0.5</v>
      </c>
      <c r="F18" s="29">
        <v>0</v>
      </c>
    </row>
    <row r="19" spans="1:6" x14ac:dyDescent="0.25">
      <c r="A19" t="s">
        <v>550</v>
      </c>
      <c r="B19" s="12">
        <v>0</v>
      </c>
      <c r="C19" s="2" t="s">
        <v>551</v>
      </c>
      <c r="D19" s="2"/>
      <c r="E19" s="2"/>
      <c r="F19" s="2"/>
    </row>
    <row r="20" spans="1:6" x14ac:dyDescent="0.25">
      <c r="A20" t="s">
        <v>311</v>
      </c>
      <c r="B20" s="12">
        <v>10</v>
      </c>
      <c r="C20" s="2" t="s">
        <v>552</v>
      </c>
      <c r="D20" s="2">
        <v>1</v>
      </c>
      <c r="E20" s="2">
        <v>1</v>
      </c>
      <c r="F20" s="2">
        <v>1</v>
      </c>
    </row>
    <row r="21" spans="1:6" x14ac:dyDescent="0.25">
      <c r="A21" t="s">
        <v>312</v>
      </c>
      <c r="B21" s="12">
        <v>10</v>
      </c>
      <c r="C21" s="2" t="s">
        <v>553</v>
      </c>
      <c r="D21" s="2">
        <v>1</v>
      </c>
      <c r="E21" s="2">
        <v>1</v>
      </c>
      <c r="F21" s="2">
        <v>1</v>
      </c>
    </row>
    <row r="22" spans="1:6" x14ac:dyDescent="0.25">
      <c r="A22" t="s">
        <v>292</v>
      </c>
      <c r="B22" s="12">
        <v>10</v>
      </c>
      <c r="C22" s="2" t="s">
        <v>554</v>
      </c>
      <c r="D22" s="2">
        <v>1</v>
      </c>
      <c r="E22" s="2">
        <v>1</v>
      </c>
      <c r="F22" s="2">
        <v>1</v>
      </c>
    </row>
    <row r="23" spans="1:6" x14ac:dyDescent="0.25">
      <c r="A23" t="s">
        <v>555</v>
      </c>
      <c r="B23" s="12">
        <v>0</v>
      </c>
      <c r="C23" s="2" t="s">
        <v>556</v>
      </c>
      <c r="D23" s="2">
        <v>0</v>
      </c>
      <c r="E23" s="2">
        <v>0</v>
      </c>
      <c r="F23" s="2">
        <v>0</v>
      </c>
    </row>
    <row r="24" spans="1:6" x14ac:dyDescent="0.25">
      <c r="A24" t="s">
        <v>557</v>
      </c>
      <c r="B24" s="12">
        <v>10</v>
      </c>
      <c r="C24" s="2" t="s">
        <v>558</v>
      </c>
      <c r="D24" s="2">
        <v>1</v>
      </c>
      <c r="E24" s="2">
        <v>1</v>
      </c>
      <c r="F24" s="2">
        <v>1</v>
      </c>
    </row>
    <row r="25" spans="1:6" x14ac:dyDescent="0.25">
      <c r="A25" t="s">
        <v>294</v>
      </c>
      <c r="B25" s="12">
        <v>10</v>
      </c>
      <c r="C25" s="2" t="s">
        <v>559</v>
      </c>
      <c r="D25" s="2">
        <v>1</v>
      </c>
      <c r="E25" s="2">
        <v>1</v>
      </c>
      <c r="F25" s="2">
        <v>1</v>
      </c>
    </row>
    <row r="26" spans="1:6" x14ac:dyDescent="0.25">
      <c r="A26" t="s">
        <v>560</v>
      </c>
      <c r="B26" s="12">
        <v>5</v>
      </c>
      <c r="C26" s="29" t="s">
        <v>561</v>
      </c>
      <c r="D26" s="2">
        <v>0.5</v>
      </c>
      <c r="E26" s="2">
        <v>0.5</v>
      </c>
      <c r="F26" s="2">
        <v>0</v>
      </c>
    </row>
    <row r="27" spans="1:6" x14ac:dyDescent="0.25">
      <c r="A27" t="s">
        <v>562</v>
      </c>
      <c r="B27" s="12">
        <v>7</v>
      </c>
      <c r="C27" s="29" t="s">
        <v>561</v>
      </c>
      <c r="D27" s="2">
        <v>0.5</v>
      </c>
      <c r="E27" s="2">
        <v>0.5</v>
      </c>
      <c r="F27" s="2">
        <v>1</v>
      </c>
    </row>
    <row r="28" spans="1:6" x14ac:dyDescent="0.25">
      <c r="A28" t="s">
        <v>563</v>
      </c>
      <c r="B28" s="12">
        <v>0</v>
      </c>
      <c r="C28" s="2" t="s">
        <v>564</v>
      </c>
      <c r="D28" s="2">
        <v>0</v>
      </c>
      <c r="E28" s="2">
        <v>0</v>
      </c>
      <c r="F28" s="2">
        <v>0</v>
      </c>
    </row>
    <row r="29" spans="1:6" x14ac:dyDescent="0.25">
      <c r="A29" t="s">
        <v>298</v>
      </c>
      <c r="B29" s="12">
        <v>0</v>
      </c>
      <c r="C29" s="2" t="s">
        <v>565</v>
      </c>
      <c r="D29" s="2"/>
      <c r="E29" s="2"/>
      <c r="F29" s="2"/>
    </row>
    <row r="30" spans="1:6" x14ac:dyDescent="0.25">
      <c r="A30" t="s">
        <v>299</v>
      </c>
      <c r="B30" s="12">
        <v>10</v>
      </c>
      <c r="C30" s="2" t="s">
        <v>566</v>
      </c>
      <c r="D30" s="2">
        <v>1</v>
      </c>
      <c r="E30" s="2">
        <v>1</v>
      </c>
      <c r="F30" s="2">
        <v>1</v>
      </c>
    </row>
    <row r="31" spans="1:6" x14ac:dyDescent="0.25">
      <c r="A31" t="s">
        <v>314</v>
      </c>
      <c r="B31" s="12">
        <v>10</v>
      </c>
      <c r="C31" s="2" t="s">
        <v>567</v>
      </c>
      <c r="D31" s="2">
        <v>1</v>
      </c>
      <c r="E31" s="2">
        <v>1</v>
      </c>
      <c r="F31" s="2">
        <v>1</v>
      </c>
    </row>
    <row r="32" spans="1:6" x14ac:dyDescent="0.25">
      <c r="A32" t="s">
        <v>300</v>
      </c>
      <c r="B32" s="12">
        <v>10</v>
      </c>
      <c r="C32" s="2" t="s">
        <v>568</v>
      </c>
      <c r="D32" s="2">
        <v>1</v>
      </c>
      <c r="E32" s="2">
        <v>1</v>
      </c>
      <c r="F32" s="2">
        <v>1</v>
      </c>
    </row>
    <row r="33" spans="1:6" x14ac:dyDescent="0.25">
      <c r="A33" t="s">
        <v>301</v>
      </c>
      <c r="B33" s="12">
        <v>10</v>
      </c>
      <c r="C33" s="2" t="s">
        <v>569</v>
      </c>
      <c r="D33" s="2">
        <v>1</v>
      </c>
      <c r="E33" s="2">
        <v>1</v>
      </c>
      <c r="F33" s="2">
        <v>1</v>
      </c>
    </row>
    <row r="34" spans="1:6" x14ac:dyDescent="0.25">
      <c r="A34" t="s">
        <v>315</v>
      </c>
      <c r="B34" s="12">
        <v>10</v>
      </c>
      <c r="C34" s="2" t="s">
        <v>570</v>
      </c>
      <c r="D34" s="2">
        <v>1</v>
      </c>
      <c r="E34" s="2">
        <v>1</v>
      </c>
      <c r="F34" s="2">
        <v>1</v>
      </c>
    </row>
    <row r="35" spans="1:6" x14ac:dyDescent="0.25">
      <c r="A35" t="s">
        <v>302</v>
      </c>
      <c r="B35" s="12">
        <v>10</v>
      </c>
      <c r="C35" s="2" t="s">
        <v>571</v>
      </c>
      <c r="D35" s="2">
        <v>1</v>
      </c>
      <c r="E35" s="2">
        <v>1</v>
      </c>
      <c r="F35" s="2">
        <v>1</v>
      </c>
    </row>
    <row r="36" spans="1:6" x14ac:dyDescent="0.25">
      <c r="A36" t="s">
        <v>572</v>
      </c>
      <c r="B36" s="12">
        <v>10</v>
      </c>
      <c r="C36" s="2" t="s">
        <v>573</v>
      </c>
      <c r="D36" s="2">
        <v>1</v>
      </c>
      <c r="E36" s="2">
        <v>1</v>
      </c>
      <c r="F36" s="2">
        <v>1</v>
      </c>
    </row>
    <row r="37" spans="1:6" x14ac:dyDescent="0.25">
      <c r="A37" t="s">
        <v>574</v>
      </c>
      <c r="B37" s="12">
        <v>7</v>
      </c>
      <c r="C37" s="2" t="s">
        <v>575</v>
      </c>
      <c r="D37" s="2">
        <v>0.5</v>
      </c>
      <c r="E37" s="2">
        <v>0.5</v>
      </c>
      <c r="F37" s="2">
        <v>1</v>
      </c>
    </row>
    <row r="38" spans="1:6" x14ac:dyDescent="0.25">
      <c r="A38" t="s">
        <v>576</v>
      </c>
      <c r="B38" s="20">
        <v>5</v>
      </c>
      <c r="C38" s="2" t="s">
        <v>577</v>
      </c>
      <c r="D38" s="2">
        <v>0.5</v>
      </c>
      <c r="E38" s="2">
        <v>0.5</v>
      </c>
      <c r="F38" s="2">
        <v>0</v>
      </c>
    </row>
    <row r="39" spans="1:6" x14ac:dyDescent="0.25">
      <c r="A39" t="s">
        <v>305</v>
      </c>
      <c r="B39" s="20">
        <v>0</v>
      </c>
      <c r="C39" s="2" t="s">
        <v>578</v>
      </c>
      <c r="D39" s="2"/>
      <c r="E39" s="2"/>
      <c r="F39"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596AC-AB2A-4F3F-833D-769CA93750C4}">
  <dimension ref="A1:AJ39"/>
  <sheetViews>
    <sheetView topLeftCell="J1" workbookViewId="0">
      <selection activeCell="Q33" sqref="Q33"/>
    </sheetView>
  </sheetViews>
  <sheetFormatPr defaultRowHeight="15" x14ac:dyDescent="0.25"/>
  <cols>
    <col min="1" max="1" width="47.7109375" hidden="1" customWidth="1"/>
    <col min="2" max="2" width="30" hidden="1" customWidth="1"/>
    <col min="3" max="3" width="53.85546875" hidden="1" customWidth="1"/>
    <col min="4" max="8" width="0" hidden="1" customWidth="1"/>
    <col min="9" max="9" width="13.140625" hidden="1" customWidth="1"/>
    <col min="10" max="10" width="38.85546875" bestFit="1" customWidth="1"/>
    <col min="11" max="11" width="13.140625" customWidth="1"/>
    <col min="12" max="12" width="9.140625" style="20"/>
    <col min="13" max="16" width="0" hidden="1" customWidth="1"/>
    <col min="17" max="17" width="9.140625" style="20"/>
    <col min="18" max="25" width="0" hidden="1" customWidth="1"/>
    <col min="26" max="26" width="9.140625" style="20"/>
    <col min="27" max="28" width="0" hidden="1" customWidth="1"/>
    <col min="29" max="31" width="9.140625" style="20"/>
  </cols>
  <sheetData>
    <row r="1" spans="1:36" x14ac:dyDescent="0.25">
      <c r="A1" t="s">
        <v>279</v>
      </c>
      <c r="B1" t="s">
        <v>279</v>
      </c>
      <c r="D1" s="1">
        <v>0</v>
      </c>
      <c r="E1" s="1">
        <v>1</v>
      </c>
      <c r="F1" s="1">
        <v>2</v>
      </c>
      <c r="G1" s="1">
        <v>3</v>
      </c>
      <c r="H1" s="1">
        <v>4</v>
      </c>
      <c r="I1" s="1">
        <v>5</v>
      </c>
      <c r="J1" s="1" t="s">
        <v>279</v>
      </c>
      <c r="K1" s="13" t="s">
        <v>319</v>
      </c>
      <c r="L1" s="22" t="s">
        <v>320</v>
      </c>
      <c r="M1" s="1">
        <v>6</v>
      </c>
      <c r="N1" s="1">
        <v>7</v>
      </c>
      <c r="O1" s="1">
        <v>8</v>
      </c>
      <c r="P1" s="1">
        <v>9</v>
      </c>
      <c r="Q1" s="22" t="s">
        <v>321</v>
      </c>
      <c r="R1" s="1">
        <v>10</v>
      </c>
      <c r="S1" s="1">
        <v>11</v>
      </c>
      <c r="T1" s="1">
        <v>12</v>
      </c>
      <c r="U1" s="1">
        <v>13</v>
      </c>
      <c r="V1" s="1">
        <v>14</v>
      </c>
      <c r="W1" s="1">
        <v>15</v>
      </c>
      <c r="X1" s="1">
        <v>16</v>
      </c>
      <c r="Y1" s="1">
        <v>17</v>
      </c>
      <c r="Z1" s="22" t="s">
        <v>322</v>
      </c>
      <c r="AA1" s="1">
        <v>18</v>
      </c>
      <c r="AB1" s="1">
        <v>19</v>
      </c>
      <c r="AC1" s="22" t="s">
        <v>323</v>
      </c>
      <c r="AD1" s="22" t="s">
        <v>324</v>
      </c>
      <c r="AE1" s="22" t="s">
        <v>325</v>
      </c>
      <c r="AF1" s="1" t="s">
        <v>325</v>
      </c>
      <c r="AG1" s="1">
        <v>20</v>
      </c>
      <c r="AH1" s="1">
        <v>21</v>
      </c>
      <c r="AI1" s="1">
        <v>22</v>
      </c>
      <c r="AJ1" s="1">
        <v>23</v>
      </c>
    </row>
    <row r="2" spans="1:36" x14ac:dyDescent="0.25">
      <c r="A2" s="1" t="s">
        <v>342</v>
      </c>
      <c r="B2" s="24" t="s">
        <v>343</v>
      </c>
      <c r="C2" s="1" t="s">
        <v>342</v>
      </c>
      <c r="D2" t="s">
        <v>344</v>
      </c>
      <c r="E2">
        <v>0.60899999999999999</v>
      </c>
      <c r="F2">
        <v>0.82</v>
      </c>
      <c r="G2" t="s">
        <v>345</v>
      </c>
      <c r="H2">
        <v>0.13900000000000001</v>
      </c>
      <c r="I2" t="s">
        <v>346</v>
      </c>
      <c r="J2" s="18" t="str">
        <f t="shared" ref="J2:J38" si="0">SUBSTITUTE(MID(A2,4,LEN(A2)-12),"_"," ")</f>
        <v xml:space="preserve">Amanda Carolina Ambrizzi Ramin </v>
      </c>
      <c r="K2" s="12">
        <f t="shared" ref="K2:K39" si="1">ROUND(SUM(L2,Q2,Z2,AC2,AD2,AE2)/6*10,0.5)</f>
        <v>8</v>
      </c>
      <c r="L2" s="23">
        <v>0.5</v>
      </c>
      <c r="M2" t="s">
        <v>330</v>
      </c>
      <c r="N2">
        <v>1.2E-2</v>
      </c>
      <c r="O2" t="s">
        <v>330</v>
      </c>
      <c r="P2">
        <v>6.0000000000000001E-3</v>
      </c>
      <c r="Q2" s="23">
        <v>1</v>
      </c>
      <c r="R2" t="s">
        <v>330</v>
      </c>
      <c r="S2">
        <v>2.9000000000000001E-2</v>
      </c>
      <c r="T2" t="s">
        <v>330</v>
      </c>
      <c r="U2">
        <v>1.7999999999999999E-2</v>
      </c>
      <c r="V2" t="s">
        <v>332</v>
      </c>
      <c r="W2">
        <v>8.0000000000000002E-3</v>
      </c>
      <c r="X2" t="s">
        <v>330</v>
      </c>
      <c r="Y2">
        <v>0.61299999999999999</v>
      </c>
      <c r="Z2" s="23">
        <v>1</v>
      </c>
      <c r="AA2" t="s">
        <v>159</v>
      </c>
      <c r="AB2" t="s">
        <v>340</v>
      </c>
      <c r="AC2" s="23">
        <v>1</v>
      </c>
      <c r="AD2" s="23">
        <v>1</v>
      </c>
      <c r="AE2" s="23">
        <v>0</v>
      </c>
    </row>
    <row r="3" spans="1:36" x14ac:dyDescent="0.25">
      <c r="A3" s="1" t="s">
        <v>347</v>
      </c>
      <c r="B3" s="1" t="s">
        <v>348</v>
      </c>
      <c r="C3" s="1" t="s">
        <v>347</v>
      </c>
      <c r="D3" t="s">
        <v>344</v>
      </c>
      <c r="E3">
        <v>0.60899999999999999</v>
      </c>
      <c r="F3">
        <v>0.82</v>
      </c>
      <c r="G3" t="s">
        <v>345</v>
      </c>
      <c r="H3">
        <v>0.13900000000000001</v>
      </c>
      <c r="I3" t="s">
        <v>346</v>
      </c>
      <c r="J3" s="18" t="str">
        <f t="shared" si="0"/>
        <v>André Felipe Silva Xavier 22.0</v>
      </c>
      <c r="K3" s="12">
        <f t="shared" si="1"/>
        <v>9</v>
      </c>
      <c r="L3" s="23">
        <v>0.5</v>
      </c>
      <c r="M3" t="s">
        <v>330</v>
      </c>
      <c r="N3">
        <v>1.2E-2</v>
      </c>
      <c r="O3" t="s">
        <v>330</v>
      </c>
      <c r="P3">
        <v>6.0000000000000001E-3</v>
      </c>
      <c r="Q3" s="23">
        <v>1</v>
      </c>
      <c r="R3" t="s">
        <v>330</v>
      </c>
      <c r="S3">
        <v>2.9000000000000001E-2</v>
      </c>
      <c r="T3" t="s">
        <v>330</v>
      </c>
      <c r="U3">
        <v>1.7999999999999999E-2</v>
      </c>
      <c r="V3" t="s">
        <v>332</v>
      </c>
      <c r="W3">
        <v>8.0000000000000002E-3</v>
      </c>
      <c r="X3" t="s">
        <v>330</v>
      </c>
      <c r="Y3">
        <v>0.61299999999999999</v>
      </c>
      <c r="Z3" s="23">
        <v>1</v>
      </c>
      <c r="AA3" t="s">
        <v>159</v>
      </c>
      <c r="AB3" t="s">
        <v>340</v>
      </c>
      <c r="AC3" s="23">
        <v>1</v>
      </c>
      <c r="AD3" s="23">
        <v>1</v>
      </c>
      <c r="AE3" s="23">
        <v>1</v>
      </c>
      <c r="AF3" t="s">
        <v>349</v>
      </c>
    </row>
    <row r="4" spans="1:36" x14ac:dyDescent="0.25">
      <c r="A4" s="1" t="s">
        <v>350</v>
      </c>
      <c r="B4" s="1"/>
      <c r="C4" s="1" t="s">
        <v>350</v>
      </c>
      <c r="D4" t="s">
        <v>344</v>
      </c>
      <c r="E4">
        <v>0.82050000000000001</v>
      </c>
      <c r="F4">
        <v>0.60880000000000001</v>
      </c>
      <c r="G4" t="s">
        <v>345</v>
      </c>
      <c r="H4">
        <v>0.13919999999999999</v>
      </c>
      <c r="I4" t="s">
        <v>351</v>
      </c>
      <c r="J4" s="18" t="str">
        <f t="shared" si="0"/>
        <v xml:space="preserve">André Prino </v>
      </c>
      <c r="K4" s="12">
        <f t="shared" si="1"/>
        <v>8</v>
      </c>
      <c r="L4" s="23">
        <v>0.5</v>
      </c>
      <c r="M4" t="s">
        <v>330</v>
      </c>
      <c r="N4">
        <v>1.1599999999999999E-2</v>
      </c>
      <c r="O4" t="s">
        <v>330</v>
      </c>
      <c r="P4">
        <v>5.7999999999999996E-3</v>
      </c>
      <c r="Q4" s="23">
        <v>1</v>
      </c>
      <c r="R4" t="s">
        <v>330</v>
      </c>
      <c r="S4">
        <v>2.9399999999999999E-2</v>
      </c>
      <c r="T4" t="s">
        <v>330</v>
      </c>
      <c r="U4">
        <v>1.77E-2</v>
      </c>
      <c r="V4" t="s">
        <v>332</v>
      </c>
      <c r="W4">
        <v>7.6E-3</v>
      </c>
      <c r="X4" t="s">
        <v>330</v>
      </c>
      <c r="Y4">
        <v>0.61280000000000001</v>
      </c>
      <c r="Z4" s="23">
        <v>1</v>
      </c>
      <c r="AA4" t="s">
        <v>333</v>
      </c>
      <c r="AB4" t="s">
        <v>340</v>
      </c>
      <c r="AC4" s="23">
        <v>1</v>
      </c>
      <c r="AD4" s="23">
        <v>0</v>
      </c>
      <c r="AE4" s="23">
        <v>1</v>
      </c>
      <c r="AF4" t="s">
        <v>352</v>
      </c>
    </row>
    <row r="5" spans="1:36" x14ac:dyDescent="0.25">
      <c r="A5" s="1" t="s">
        <v>353</v>
      </c>
      <c r="B5" s="1" t="s">
        <v>354</v>
      </c>
      <c r="C5" s="1" t="s">
        <v>353</v>
      </c>
      <c r="D5" t="s">
        <v>344</v>
      </c>
      <c r="E5">
        <v>0.82</v>
      </c>
      <c r="F5">
        <v>0.60899999999999999</v>
      </c>
      <c r="G5" t="s">
        <v>355</v>
      </c>
      <c r="H5">
        <v>0.16500000000000001</v>
      </c>
      <c r="I5" t="s">
        <v>356</v>
      </c>
      <c r="J5" s="18" t="str">
        <f t="shared" si="0"/>
        <v xml:space="preserve">André Renato Almeida Abreu </v>
      </c>
      <c r="K5" s="12">
        <f t="shared" si="1"/>
        <v>10</v>
      </c>
      <c r="L5" s="23">
        <v>1</v>
      </c>
      <c r="M5" t="s">
        <v>330</v>
      </c>
      <c r="N5">
        <v>1.2E-2</v>
      </c>
      <c r="O5" t="s">
        <v>330</v>
      </c>
      <c r="P5">
        <v>6.0000000000000001E-3</v>
      </c>
      <c r="Q5" s="23">
        <v>1</v>
      </c>
      <c r="R5" t="s">
        <v>330</v>
      </c>
      <c r="S5">
        <v>2.9000000000000001E-2</v>
      </c>
      <c r="T5" t="s">
        <v>330</v>
      </c>
      <c r="U5">
        <v>1.7999999999999999E-2</v>
      </c>
      <c r="V5" t="s">
        <v>332</v>
      </c>
      <c r="W5">
        <v>8.0000000000000002E-3</v>
      </c>
      <c r="X5" t="s">
        <v>330</v>
      </c>
      <c r="Y5">
        <v>0.61299999999999999</v>
      </c>
      <c r="Z5" s="23">
        <v>1</v>
      </c>
      <c r="AA5" t="s">
        <v>333</v>
      </c>
      <c r="AB5" t="s">
        <v>340</v>
      </c>
      <c r="AC5" s="23">
        <v>1</v>
      </c>
      <c r="AD5" s="23">
        <v>1</v>
      </c>
      <c r="AE5" s="23">
        <v>1</v>
      </c>
      <c r="AF5" t="s">
        <v>357</v>
      </c>
    </row>
    <row r="6" spans="1:36" x14ac:dyDescent="0.25">
      <c r="A6" s="1" t="s">
        <v>358</v>
      </c>
      <c r="B6" s="1" t="s">
        <v>359</v>
      </c>
      <c r="C6" s="1" t="s">
        <v>358</v>
      </c>
      <c r="D6" t="s">
        <v>344</v>
      </c>
      <c r="E6">
        <v>0.82048122908450871</v>
      </c>
      <c r="F6">
        <v>0.60878336607437444</v>
      </c>
      <c r="G6" t="s">
        <v>345</v>
      </c>
      <c r="H6">
        <v>0.13922162999485829</v>
      </c>
      <c r="I6" t="s">
        <v>360</v>
      </c>
      <c r="J6" s="18" t="str">
        <f t="shared" si="0"/>
        <v xml:space="preserve">André Solano Ferreira Rodrigues Maiolini </v>
      </c>
      <c r="K6" s="12">
        <f t="shared" si="1"/>
        <v>9</v>
      </c>
      <c r="L6" s="23">
        <v>0.5</v>
      </c>
      <c r="M6" t="s">
        <v>330</v>
      </c>
      <c r="N6">
        <v>1.15694951489824E-2</v>
      </c>
      <c r="O6" t="s">
        <v>330</v>
      </c>
      <c r="P6">
        <v>5.7847475744912018E-3</v>
      </c>
      <c r="Q6" s="23">
        <v>1</v>
      </c>
      <c r="R6" t="s">
        <v>330</v>
      </c>
      <c r="S6">
        <v>2.940072438113564E-2</v>
      </c>
      <c r="T6" t="s">
        <v>330</v>
      </c>
      <c r="U6">
        <v>1.7701091007763022E-2</v>
      </c>
      <c r="V6" t="s">
        <v>361</v>
      </c>
      <c r="W6">
        <v>7.6432490722747491E-3</v>
      </c>
      <c r="X6" t="s">
        <v>330</v>
      </c>
      <c r="Y6">
        <v>0.61278161497305939</v>
      </c>
      <c r="Z6" s="23">
        <v>1</v>
      </c>
      <c r="AA6" t="s">
        <v>362</v>
      </c>
      <c r="AB6" t="s">
        <v>363</v>
      </c>
      <c r="AC6" s="23">
        <v>1</v>
      </c>
      <c r="AD6" s="23">
        <v>1</v>
      </c>
      <c r="AE6" s="23">
        <v>1</v>
      </c>
      <c r="AF6" t="s">
        <v>364</v>
      </c>
    </row>
    <row r="7" spans="1:36" x14ac:dyDescent="0.25">
      <c r="A7" s="1" t="s">
        <v>365</v>
      </c>
      <c r="B7" s="1"/>
      <c r="C7" s="1" t="s">
        <v>365</v>
      </c>
      <c r="D7" t="s">
        <v>344</v>
      </c>
      <c r="E7">
        <v>0.82048122908450871</v>
      </c>
      <c r="F7">
        <v>0.60878336607437444</v>
      </c>
      <c r="G7" t="s">
        <v>345</v>
      </c>
      <c r="H7">
        <v>0.13922162999485829</v>
      </c>
      <c r="I7" t="s">
        <v>366</v>
      </c>
      <c r="J7" s="18" t="str">
        <f t="shared" si="0"/>
        <v>Arthur Jin Woo Lee 22.01</v>
      </c>
      <c r="K7" s="12">
        <f t="shared" si="1"/>
        <v>7</v>
      </c>
      <c r="L7" s="23">
        <v>0.5</v>
      </c>
      <c r="M7" t="s">
        <v>330</v>
      </c>
      <c r="N7">
        <v>1.15694951489824E-2</v>
      </c>
      <c r="O7" t="s">
        <v>330</v>
      </c>
      <c r="P7">
        <v>5.7847475744912018E-3</v>
      </c>
      <c r="Q7" s="23">
        <v>1</v>
      </c>
      <c r="R7" t="s">
        <v>330</v>
      </c>
      <c r="S7">
        <v>2.940072438113564E-2</v>
      </c>
      <c r="T7" t="s">
        <v>330</v>
      </c>
      <c r="U7">
        <v>3.6220814513016557E-2</v>
      </c>
      <c r="V7" t="s">
        <v>332</v>
      </c>
      <c r="W7">
        <v>7.6432490722747491E-3</v>
      </c>
      <c r="X7" t="s">
        <v>330</v>
      </c>
      <c r="Y7">
        <v>0.61278161497305939</v>
      </c>
      <c r="Z7" s="23">
        <v>0.5</v>
      </c>
      <c r="AA7" t="s">
        <v>367</v>
      </c>
      <c r="AB7" t="s">
        <v>368</v>
      </c>
      <c r="AC7" s="23">
        <v>1</v>
      </c>
      <c r="AD7" s="23">
        <v>0</v>
      </c>
      <c r="AE7" s="23">
        <v>1</v>
      </c>
      <c r="AF7" t="s">
        <v>369</v>
      </c>
    </row>
    <row r="8" spans="1:36" x14ac:dyDescent="0.25">
      <c r="A8" s="1" t="s">
        <v>370</v>
      </c>
      <c r="B8" s="1" t="s">
        <v>371</v>
      </c>
      <c r="C8" s="1" t="s">
        <v>370</v>
      </c>
      <c r="D8" t="s">
        <v>344</v>
      </c>
      <c r="E8" t="s">
        <v>372</v>
      </c>
      <c r="F8" t="s">
        <v>373</v>
      </c>
      <c r="G8" t="s">
        <v>345</v>
      </c>
      <c r="H8" t="s">
        <v>374</v>
      </c>
      <c r="I8" t="s">
        <v>346</v>
      </c>
      <c r="J8" s="18" t="str">
        <f t="shared" si="0"/>
        <v>Breno Amorim Roman 20.0</v>
      </c>
      <c r="K8" s="12">
        <f t="shared" si="1"/>
        <v>9</v>
      </c>
      <c r="L8" s="23">
        <v>0.5</v>
      </c>
      <c r="M8" t="s">
        <v>330</v>
      </c>
      <c r="N8" t="s">
        <v>375</v>
      </c>
      <c r="O8" t="s">
        <v>330</v>
      </c>
      <c r="P8" t="s">
        <v>376</v>
      </c>
      <c r="Q8" s="23">
        <v>1</v>
      </c>
      <c r="R8" t="s">
        <v>330</v>
      </c>
      <c r="S8">
        <v>2.940072438113564E-2</v>
      </c>
      <c r="T8" t="s">
        <v>330</v>
      </c>
      <c r="U8">
        <v>1.7701091007763022E-2</v>
      </c>
      <c r="V8" t="s">
        <v>332</v>
      </c>
      <c r="W8">
        <v>7.6432490722747491E-3</v>
      </c>
      <c r="X8" t="s">
        <v>330</v>
      </c>
      <c r="Y8">
        <v>0.61278161497305939</v>
      </c>
      <c r="Z8" s="23">
        <v>1</v>
      </c>
      <c r="AA8" t="s">
        <v>159</v>
      </c>
      <c r="AB8" t="s">
        <v>340</v>
      </c>
      <c r="AC8" s="23">
        <v>1</v>
      </c>
      <c r="AD8" s="23">
        <v>1</v>
      </c>
      <c r="AE8" s="23">
        <v>1</v>
      </c>
      <c r="AF8" t="s">
        <v>377</v>
      </c>
    </row>
    <row r="9" spans="1:36" x14ac:dyDescent="0.25">
      <c r="A9" s="1" t="s">
        <v>378</v>
      </c>
      <c r="B9" s="1" t="s">
        <v>379</v>
      </c>
      <c r="C9" s="1" t="s">
        <v>378</v>
      </c>
      <c r="D9" t="s">
        <v>380</v>
      </c>
      <c r="E9">
        <v>0.82</v>
      </c>
      <c r="F9">
        <v>0.60899999999999999</v>
      </c>
      <c r="G9" t="s">
        <v>380</v>
      </c>
      <c r="H9">
        <v>0.13900000000000001</v>
      </c>
      <c r="I9" t="s">
        <v>380</v>
      </c>
      <c r="J9" s="18" t="str">
        <f t="shared" si="0"/>
        <v xml:space="preserve">Bruno Giannini Loffreda </v>
      </c>
      <c r="K9" s="12">
        <f t="shared" si="1"/>
        <v>4</v>
      </c>
      <c r="L9" s="23">
        <v>0</v>
      </c>
      <c r="M9" t="s">
        <v>330</v>
      </c>
      <c r="N9">
        <v>6.0000000000000001E-3</v>
      </c>
      <c r="O9" t="s">
        <v>331</v>
      </c>
      <c r="P9" t="s">
        <v>330</v>
      </c>
      <c r="Q9" s="23">
        <v>0</v>
      </c>
      <c r="R9">
        <v>0.61299999999999999</v>
      </c>
      <c r="S9" t="s">
        <v>330</v>
      </c>
      <c r="T9" t="s">
        <v>332</v>
      </c>
      <c r="U9" t="s">
        <v>330</v>
      </c>
      <c r="V9" t="s">
        <v>159</v>
      </c>
      <c r="W9" t="s">
        <v>340</v>
      </c>
      <c r="Z9" s="23">
        <v>0</v>
      </c>
      <c r="AC9" s="23">
        <v>1</v>
      </c>
      <c r="AD9" s="23">
        <v>1</v>
      </c>
      <c r="AE9" s="23">
        <v>0.5</v>
      </c>
      <c r="AF9" t="s">
        <v>381</v>
      </c>
    </row>
    <row r="10" spans="1:36" x14ac:dyDescent="0.25">
      <c r="A10" s="1" t="s">
        <v>382</v>
      </c>
      <c r="B10" s="1" t="s">
        <v>383</v>
      </c>
      <c r="C10" s="1" t="s">
        <v>382</v>
      </c>
      <c r="D10" t="s">
        <v>344</v>
      </c>
      <c r="E10">
        <v>0.82048122908450871</v>
      </c>
      <c r="F10">
        <v>0.60878336607437444</v>
      </c>
      <c r="G10" t="s">
        <v>345</v>
      </c>
      <c r="H10">
        <v>0.13922162999485829</v>
      </c>
      <c r="I10" t="s">
        <v>384</v>
      </c>
      <c r="J10" s="18" t="str">
        <f t="shared" si="0"/>
        <v xml:space="preserve">Durval Consorti Soranz de Barros Santos </v>
      </c>
      <c r="K10" s="12">
        <f t="shared" si="1"/>
        <v>9</v>
      </c>
      <c r="L10" s="23">
        <v>0.5</v>
      </c>
      <c r="M10" t="s">
        <v>330</v>
      </c>
      <c r="N10">
        <v>1.15694951489824E-2</v>
      </c>
      <c r="O10" t="s">
        <v>330</v>
      </c>
      <c r="P10">
        <v>5.7847475744912018E-3</v>
      </c>
      <c r="Q10" s="23">
        <v>1</v>
      </c>
      <c r="R10" t="s">
        <v>330</v>
      </c>
      <c r="S10">
        <v>2.940072438113564E-2</v>
      </c>
      <c r="T10" t="s">
        <v>330</v>
      </c>
      <c r="U10">
        <v>1.7701091007763022E-2</v>
      </c>
      <c r="V10" t="s">
        <v>332</v>
      </c>
      <c r="W10">
        <v>7.6432490722747491E-3</v>
      </c>
      <c r="X10" t="s">
        <v>330</v>
      </c>
      <c r="Y10">
        <v>0.61278161497305939</v>
      </c>
      <c r="Z10" s="23">
        <v>1</v>
      </c>
      <c r="AA10" t="s">
        <v>159</v>
      </c>
      <c r="AB10" t="s">
        <v>340</v>
      </c>
      <c r="AC10" s="23">
        <v>1</v>
      </c>
      <c r="AD10" s="23">
        <v>1</v>
      </c>
      <c r="AE10" s="23">
        <v>1</v>
      </c>
      <c r="AF10" t="s">
        <v>385</v>
      </c>
    </row>
    <row r="11" spans="1:36" x14ac:dyDescent="0.25">
      <c r="A11" s="1" t="s">
        <v>386</v>
      </c>
      <c r="B11" s="1" t="s">
        <v>387</v>
      </c>
      <c r="C11" s="1" t="s">
        <v>386</v>
      </c>
      <c r="D11" t="s">
        <v>344</v>
      </c>
      <c r="E11">
        <v>0.82</v>
      </c>
      <c r="F11">
        <v>0.60899999999999999</v>
      </c>
      <c r="G11" t="s">
        <v>345</v>
      </c>
      <c r="H11">
        <v>0.13900000000000001</v>
      </c>
      <c r="I11" t="s">
        <v>329</v>
      </c>
      <c r="J11" s="18" t="str">
        <f t="shared" si="0"/>
        <v xml:space="preserve">Enrico Mota Santarelli </v>
      </c>
      <c r="K11" s="12">
        <f t="shared" si="1"/>
        <v>8</v>
      </c>
      <c r="L11" s="23">
        <v>0.5</v>
      </c>
      <c r="M11" t="s">
        <v>330</v>
      </c>
      <c r="N11">
        <v>1.2E-2</v>
      </c>
      <c r="O11" t="s">
        <v>330</v>
      </c>
      <c r="P11">
        <v>6.0000000000000001E-3</v>
      </c>
      <c r="Q11" s="23">
        <v>1</v>
      </c>
      <c r="R11" t="s">
        <v>332</v>
      </c>
      <c r="S11">
        <v>5.8999999999999997E-2</v>
      </c>
      <c r="T11" t="s">
        <v>330</v>
      </c>
      <c r="U11">
        <v>2.9000000000000001E-2</v>
      </c>
      <c r="V11" t="s">
        <v>330</v>
      </c>
      <c r="W11">
        <v>8.0000000000000002E-3</v>
      </c>
      <c r="X11" t="s">
        <v>332</v>
      </c>
      <c r="Y11">
        <v>0.61199999999999999</v>
      </c>
      <c r="Z11" s="23">
        <v>0.5</v>
      </c>
      <c r="AA11" t="s">
        <v>159</v>
      </c>
      <c r="AB11" t="s">
        <v>340</v>
      </c>
      <c r="AC11" s="23">
        <v>1</v>
      </c>
      <c r="AD11" s="23">
        <v>1</v>
      </c>
      <c r="AE11" s="23">
        <v>1</v>
      </c>
      <c r="AF11" t="s">
        <v>388</v>
      </c>
    </row>
    <row r="12" spans="1:36" x14ac:dyDescent="0.25">
      <c r="A12" s="1" t="s">
        <v>389</v>
      </c>
      <c r="B12" s="1"/>
      <c r="C12" s="1" t="s">
        <v>389</v>
      </c>
      <c r="D12" t="s">
        <v>344</v>
      </c>
      <c r="E12">
        <v>0.82</v>
      </c>
      <c r="F12">
        <v>0.60899999999999999</v>
      </c>
      <c r="G12" t="s">
        <v>345</v>
      </c>
      <c r="H12">
        <v>0.13900000000000001</v>
      </c>
      <c r="I12" t="s">
        <v>390</v>
      </c>
      <c r="J12" s="18" t="str">
        <f t="shared" si="0"/>
        <v xml:space="preserve">Estevan Feher </v>
      </c>
      <c r="K12" s="12">
        <f t="shared" si="1"/>
        <v>3</v>
      </c>
      <c r="L12" s="23">
        <v>0</v>
      </c>
      <c r="M12" t="s">
        <v>330</v>
      </c>
      <c r="N12">
        <v>6.0000000000000001E-3</v>
      </c>
      <c r="O12" t="s">
        <v>330</v>
      </c>
      <c r="P12" t="s">
        <v>330</v>
      </c>
      <c r="Q12" s="23">
        <v>0.5</v>
      </c>
      <c r="R12">
        <v>2.9000000000000001E-2</v>
      </c>
      <c r="S12" t="s">
        <v>330</v>
      </c>
      <c r="T12">
        <v>1.7999999999999999E-2</v>
      </c>
      <c r="U12" t="s">
        <v>332</v>
      </c>
      <c r="V12">
        <v>8.0000000000000002E-3</v>
      </c>
      <c r="W12" t="s">
        <v>330</v>
      </c>
      <c r="X12">
        <v>0.61299999999999999</v>
      </c>
      <c r="Y12" t="s">
        <v>362</v>
      </c>
      <c r="Z12" s="23">
        <v>0.5</v>
      </c>
      <c r="AA12" t="s">
        <v>363</v>
      </c>
      <c r="AC12" s="23">
        <v>1</v>
      </c>
      <c r="AD12" s="23">
        <v>0</v>
      </c>
      <c r="AE12" s="23">
        <v>0</v>
      </c>
      <c r="AF12" t="s">
        <v>391</v>
      </c>
    </row>
    <row r="13" spans="1:36" x14ac:dyDescent="0.25">
      <c r="A13" s="1" t="s">
        <v>392</v>
      </c>
      <c r="B13" s="1" t="s">
        <v>393</v>
      </c>
      <c r="C13" s="1" t="s">
        <v>392</v>
      </c>
      <c r="D13" t="s">
        <v>344</v>
      </c>
      <c r="E13">
        <v>0.82</v>
      </c>
      <c r="F13">
        <v>0.60899999999999999</v>
      </c>
      <c r="G13" t="s">
        <v>345</v>
      </c>
      <c r="H13">
        <v>0.13900000000000001</v>
      </c>
      <c r="I13" t="s">
        <v>394</v>
      </c>
      <c r="J13" s="18" t="str">
        <f t="shared" si="0"/>
        <v xml:space="preserve">Felipe Kenzo Ohara Sakae </v>
      </c>
      <c r="K13" s="12">
        <f t="shared" si="1"/>
        <v>8</v>
      </c>
      <c r="L13" s="23">
        <v>0.5</v>
      </c>
      <c r="M13" t="s">
        <v>330</v>
      </c>
      <c r="N13">
        <v>1.1599999999999999E-2</v>
      </c>
      <c r="O13" t="s">
        <v>330</v>
      </c>
      <c r="P13">
        <v>5.7999999999999996E-3</v>
      </c>
      <c r="Q13" s="23">
        <v>1</v>
      </c>
      <c r="R13" t="s">
        <v>330</v>
      </c>
      <c r="S13">
        <v>2.9399999999999999E-2</v>
      </c>
      <c r="T13" t="s">
        <v>330</v>
      </c>
      <c r="U13">
        <v>0.17699999999999999</v>
      </c>
      <c r="V13" t="s">
        <v>332</v>
      </c>
      <c r="W13">
        <v>7.6E-3</v>
      </c>
      <c r="X13" t="s">
        <v>330</v>
      </c>
      <c r="Y13">
        <v>0.61280000000000001</v>
      </c>
      <c r="Z13" s="23">
        <v>0.5</v>
      </c>
      <c r="AA13" t="s">
        <v>159</v>
      </c>
      <c r="AB13" t="s">
        <v>340</v>
      </c>
      <c r="AC13" s="23">
        <v>1</v>
      </c>
      <c r="AD13" s="23">
        <v>1</v>
      </c>
      <c r="AE13" s="23">
        <v>1</v>
      </c>
      <c r="AF13" t="s">
        <v>395</v>
      </c>
    </row>
    <row r="14" spans="1:36" x14ac:dyDescent="0.25">
      <c r="A14" s="1" t="s">
        <v>396</v>
      </c>
      <c r="B14" s="1"/>
      <c r="C14" s="1" t="s">
        <v>396</v>
      </c>
      <c r="D14" t="s">
        <v>397</v>
      </c>
      <c r="E14">
        <v>0.82050000000000001</v>
      </c>
      <c r="F14">
        <v>0.60880000000000001</v>
      </c>
      <c r="G14" t="s">
        <v>398</v>
      </c>
      <c r="H14">
        <v>0.16450000000000001</v>
      </c>
      <c r="I14" t="s">
        <v>384</v>
      </c>
      <c r="J14" s="18" t="str">
        <f t="shared" si="0"/>
        <v xml:space="preserve">Fernando Minharro Alves Gimenez </v>
      </c>
      <c r="K14" s="12">
        <f t="shared" si="1"/>
        <v>7</v>
      </c>
      <c r="L14" s="23">
        <v>1</v>
      </c>
      <c r="M14" t="s">
        <v>330</v>
      </c>
      <c r="N14">
        <v>1.1599999999999999E-2</v>
      </c>
      <c r="O14" t="s">
        <v>330</v>
      </c>
      <c r="P14">
        <v>5.7999999999999996E-3</v>
      </c>
      <c r="Q14" s="23">
        <v>1</v>
      </c>
      <c r="R14" t="s">
        <v>330</v>
      </c>
      <c r="S14">
        <v>2.9399999999999999E-2</v>
      </c>
      <c r="T14" t="s">
        <v>330</v>
      </c>
      <c r="U14">
        <v>1.77E-2</v>
      </c>
      <c r="V14" t="s">
        <v>332</v>
      </c>
      <c r="W14">
        <v>7.6E-3</v>
      </c>
      <c r="X14" t="s">
        <v>330</v>
      </c>
      <c r="Y14">
        <v>0.61280000000000001</v>
      </c>
      <c r="Z14" s="23">
        <v>1</v>
      </c>
      <c r="AA14" t="s">
        <v>399</v>
      </c>
      <c r="AB14" t="s">
        <v>400</v>
      </c>
      <c r="AC14" s="23">
        <v>0</v>
      </c>
      <c r="AD14" s="23">
        <v>0</v>
      </c>
      <c r="AE14" s="23">
        <v>1</v>
      </c>
      <c r="AF14" t="s">
        <v>401</v>
      </c>
    </row>
    <row r="15" spans="1:36" x14ac:dyDescent="0.25">
      <c r="A15" s="1" t="s">
        <v>402</v>
      </c>
      <c r="B15" s="1" t="s">
        <v>403</v>
      </c>
      <c r="C15" s="1" t="s">
        <v>402</v>
      </c>
      <c r="D15" t="s">
        <v>344</v>
      </c>
      <c r="E15">
        <v>0.82050000000000001</v>
      </c>
      <c r="F15">
        <v>0.60880000000000001</v>
      </c>
      <c r="G15" t="s">
        <v>345</v>
      </c>
      <c r="H15">
        <v>0.13919999999999999</v>
      </c>
      <c r="I15" t="s">
        <v>404</v>
      </c>
      <c r="J15" s="18" t="str">
        <f t="shared" si="0"/>
        <v>Giuliano Rodrigues Tumoli 21.0</v>
      </c>
      <c r="K15" s="12">
        <f t="shared" si="1"/>
        <v>9</v>
      </c>
      <c r="L15" s="23">
        <v>0.5</v>
      </c>
      <c r="M15" t="s">
        <v>330</v>
      </c>
      <c r="N15">
        <v>1.1599999999999999E-2</v>
      </c>
      <c r="O15" t="s">
        <v>330</v>
      </c>
      <c r="P15">
        <v>5.7999999999999996E-3</v>
      </c>
      <c r="Q15" s="23">
        <v>1</v>
      </c>
      <c r="R15" t="s">
        <v>330</v>
      </c>
      <c r="S15">
        <v>2.9399999999999999E-2</v>
      </c>
      <c r="T15" t="s">
        <v>330</v>
      </c>
      <c r="U15">
        <v>1.77E-2</v>
      </c>
      <c r="V15" t="s">
        <v>332</v>
      </c>
      <c r="W15">
        <v>7.6E-3</v>
      </c>
      <c r="X15" t="s">
        <v>330</v>
      </c>
      <c r="Y15">
        <v>0.61280000000000001</v>
      </c>
      <c r="Z15" s="23">
        <v>1</v>
      </c>
      <c r="AA15" t="s">
        <v>333</v>
      </c>
      <c r="AB15" t="s">
        <v>340</v>
      </c>
      <c r="AC15" s="23">
        <v>1</v>
      </c>
      <c r="AD15" s="23">
        <v>1</v>
      </c>
      <c r="AE15" s="23">
        <v>1</v>
      </c>
      <c r="AF15" t="s">
        <v>405</v>
      </c>
    </row>
    <row r="16" spans="1:36" x14ac:dyDescent="0.25">
      <c r="A16" s="1" t="s">
        <v>406</v>
      </c>
      <c r="B16" s="1" t="s">
        <v>407</v>
      </c>
      <c r="C16" s="1" t="s">
        <v>406</v>
      </c>
      <c r="D16" t="s">
        <v>344</v>
      </c>
      <c r="E16">
        <v>0.82050000000000001</v>
      </c>
      <c r="F16">
        <v>0.60880000000000001</v>
      </c>
      <c r="G16" t="s">
        <v>345</v>
      </c>
      <c r="H16">
        <v>0.13919999999999999</v>
      </c>
      <c r="I16" t="s">
        <v>408</v>
      </c>
      <c r="J16" s="18" t="str">
        <f t="shared" si="0"/>
        <v xml:space="preserve">Guilherme Martins Souza Paula </v>
      </c>
      <c r="K16" s="12">
        <f t="shared" si="1"/>
        <v>8</v>
      </c>
      <c r="L16" s="23">
        <v>0.5</v>
      </c>
      <c r="M16" t="s">
        <v>330</v>
      </c>
      <c r="N16">
        <v>1.1599999999999999E-2</v>
      </c>
      <c r="O16" t="s">
        <v>330</v>
      </c>
      <c r="P16">
        <v>5.7999999999999996E-3</v>
      </c>
      <c r="Q16" s="23">
        <v>1</v>
      </c>
      <c r="R16" t="s">
        <v>330</v>
      </c>
      <c r="S16">
        <v>2.9399999999999999E-2</v>
      </c>
      <c r="T16" t="s">
        <v>330</v>
      </c>
      <c r="U16">
        <v>1.77E-2</v>
      </c>
      <c r="V16" t="s">
        <v>332</v>
      </c>
      <c r="W16">
        <v>7.6E-3</v>
      </c>
      <c r="X16" t="s">
        <v>330</v>
      </c>
      <c r="Y16">
        <v>0.61280000000000001</v>
      </c>
      <c r="Z16" s="23">
        <v>1</v>
      </c>
      <c r="AA16" t="s">
        <v>159</v>
      </c>
      <c r="AB16" t="s">
        <v>340</v>
      </c>
      <c r="AC16" s="23">
        <v>1</v>
      </c>
      <c r="AD16" s="23">
        <v>0</v>
      </c>
      <c r="AE16" s="23">
        <v>1</v>
      </c>
      <c r="AF16" t="s">
        <v>409</v>
      </c>
    </row>
    <row r="17" spans="1:36" x14ac:dyDescent="0.25">
      <c r="A17" s="1" t="s">
        <v>410</v>
      </c>
      <c r="B17" s="1"/>
      <c r="C17" s="1" t="s">
        <v>410</v>
      </c>
      <c r="D17" t="s">
        <v>56</v>
      </c>
      <c r="E17">
        <v>0.82050000000000001</v>
      </c>
      <c r="F17">
        <v>0.60880000000000001</v>
      </c>
      <c r="G17" t="s">
        <v>345</v>
      </c>
      <c r="H17">
        <v>0.13919999999999999</v>
      </c>
      <c r="I17" t="s">
        <v>351</v>
      </c>
      <c r="J17" s="18" t="str">
        <f t="shared" si="0"/>
        <v xml:space="preserve">Guilherme Thomasi Ronca </v>
      </c>
      <c r="K17" s="12">
        <f t="shared" si="1"/>
        <v>8</v>
      </c>
      <c r="L17" s="23">
        <v>0.5</v>
      </c>
      <c r="M17" t="s">
        <v>330</v>
      </c>
      <c r="N17">
        <v>1.1599999999999999E-2</v>
      </c>
      <c r="O17" t="s">
        <v>330</v>
      </c>
      <c r="P17">
        <v>5.7999999999999996E-3</v>
      </c>
      <c r="Q17" s="23">
        <v>1</v>
      </c>
      <c r="R17" t="s">
        <v>330</v>
      </c>
      <c r="S17">
        <v>2.9399999999999999E-2</v>
      </c>
      <c r="T17" t="s">
        <v>330</v>
      </c>
      <c r="U17">
        <v>1.77E-2</v>
      </c>
      <c r="V17" t="s">
        <v>332</v>
      </c>
      <c r="W17">
        <v>7.6E-3</v>
      </c>
      <c r="X17" t="s">
        <v>330</v>
      </c>
      <c r="Y17">
        <v>0.61280000000000001</v>
      </c>
      <c r="Z17" s="23">
        <v>1</v>
      </c>
      <c r="AA17" t="s">
        <v>333</v>
      </c>
      <c r="AB17" t="s">
        <v>340</v>
      </c>
      <c r="AC17" s="23">
        <v>1</v>
      </c>
      <c r="AD17" s="23">
        <v>0</v>
      </c>
      <c r="AE17" s="23">
        <v>1</v>
      </c>
      <c r="AF17" t="s">
        <v>411</v>
      </c>
    </row>
    <row r="18" spans="1:36" x14ac:dyDescent="0.25">
      <c r="A18" s="1" t="s">
        <v>412</v>
      </c>
      <c r="B18" s="1" t="s">
        <v>413</v>
      </c>
      <c r="C18" s="1" t="s">
        <v>412</v>
      </c>
      <c r="D18" t="s">
        <v>344</v>
      </c>
      <c r="E18">
        <v>0.82099999999999995</v>
      </c>
      <c r="F18">
        <v>0.60899999999999999</v>
      </c>
      <c r="G18" t="s">
        <v>345</v>
      </c>
      <c r="H18">
        <v>0.13900000000000001</v>
      </c>
      <c r="I18" t="s">
        <v>384</v>
      </c>
      <c r="J18" s="18" t="str">
        <f t="shared" si="0"/>
        <v xml:space="preserve">João Paulo Bonagurio Ramirez </v>
      </c>
      <c r="K18" s="12">
        <f t="shared" si="1"/>
        <v>9</v>
      </c>
      <c r="L18" s="23">
        <v>0.5</v>
      </c>
      <c r="M18" t="s">
        <v>330</v>
      </c>
      <c r="N18">
        <v>1.1599999999999999E-2</v>
      </c>
      <c r="O18" t="s">
        <v>330</v>
      </c>
      <c r="P18">
        <v>5.7999999999999996E-3</v>
      </c>
      <c r="Q18" s="23">
        <v>1</v>
      </c>
      <c r="R18" t="s">
        <v>330</v>
      </c>
      <c r="S18">
        <v>2.9399999999999999E-2</v>
      </c>
      <c r="T18" t="s">
        <v>330</v>
      </c>
      <c r="U18">
        <v>1.77E-2</v>
      </c>
      <c r="V18" t="s">
        <v>332</v>
      </c>
      <c r="W18">
        <v>7.6E-3</v>
      </c>
      <c r="X18" t="s">
        <v>330</v>
      </c>
      <c r="Y18">
        <v>0.61280000000000001</v>
      </c>
      <c r="Z18" s="23">
        <v>1</v>
      </c>
      <c r="AA18" t="s">
        <v>333</v>
      </c>
      <c r="AB18" t="s">
        <v>340</v>
      </c>
      <c r="AC18" s="23">
        <v>1</v>
      </c>
      <c r="AD18" s="23">
        <v>1</v>
      </c>
      <c r="AE18" s="23">
        <v>1</v>
      </c>
      <c r="AF18" t="s">
        <v>414</v>
      </c>
    </row>
    <row r="19" spans="1:36" x14ac:dyDescent="0.25">
      <c r="A19" s="1" t="s">
        <v>415</v>
      </c>
      <c r="B19" s="1" t="s">
        <v>416</v>
      </c>
      <c r="C19" s="1" t="s">
        <v>415</v>
      </c>
      <c r="D19" t="s">
        <v>56</v>
      </c>
      <c r="E19">
        <v>0.82</v>
      </c>
      <c r="F19">
        <v>0.60899999999999999</v>
      </c>
      <c r="G19" t="s">
        <v>345</v>
      </c>
      <c r="H19">
        <v>0.13900000000000001</v>
      </c>
      <c r="I19" t="s">
        <v>417</v>
      </c>
      <c r="J19" s="18" t="str">
        <f t="shared" si="0"/>
        <v xml:space="preserve">Leonardo Fiorese </v>
      </c>
      <c r="K19" s="12">
        <f t="shared" si="1"/>
        <v>8</v>
      </c>
      <c r="L19" s="23">
        <v>0.5</v>
      </c>
      <c r="M19" t="s">
        <v>331</v>
      </c>
      <c r="N19">
        <v>1.2E-2</v>
      </c>
      <c r="O19" t="s">
        <v>331</v>
      </c>
      <c r="P19">
        <v>6.0000000000000001E-3</v>
      </c>
      <c r="Q19" s="23">
        <v>1</v>
      </c>
      <c r="R19" t="s">
        <v>332</v>
      </c>
      <c r="S19">
        <v>5.8999999999999997E-2</v>
      </c>
      <c r="T19" t="s">
        <v>330</v>
      </c>
      <c r="U19">
        <v>3.5000000000000003E-2</v>
      </c>
      <c r="V19" t="s">
        <v>332</v>
      </c>
      <c r="W19">
        <v>8.0000000000000002E-3</v>
      </c>
      <c r="X19" t="s">
        <v>330</v>
      </c>
      <c r="Y19">
        <v>0.61299999999999999</v>
      </c>
      <c r="Z19" s="23">
        <v>0</v>
      </c>
      <c r="AA19" t="s">
        <v>159</v>
      </c>
      <c r="AB19" t="s">
        <v>340</v>
      </c>
      <c r="AC19" s="23">
        <v>1</v>
      </c>
      <c r="AD19" s="23">
        <v>1</v>
      </c>
      <c r="AE19" s="23">
        <v>1</v>
      </c>
      <c r="AF19" t="s">
        <v>418</v>
      </c>
    </row>
    <row r="20" spans="1:36" x14ac:dyDescent="0.25">
      <c r="A20" s="1" t="s">
        <v>419</v>
      </c>
      <c r="B20" s="1"/>
      <c r="C20" s="1" t="s">
        <v>419</v>
      </c>
      <c r="D20" t="s">
        <v>344</v>
      </c>
      <c r="E20">
        <v>0.82048122908450871</v>
      </c>
      <c r="F20">
        <v>0.60878336607437444</v>
      </c>
      <c r="G20" t="s">
        <v>355</v>
      </c>
      <c r="H20">
        <v>0.16456232656483721</v>
      </c>
      <c r="I20" t="s">
        <v>366</v>
      </c>
      <c r="J20" s="18" t="str">
        <f t="shared" si="0"/>
        <v>Leonardo Henrique Dias Moura 21.0</v>
      </c>
      <c r="K20" s="12">
        <f t="shared" si="1"/>
        <v>8</v>
      </c>
      <c r="L20" s="23">
        <v>1</v>
      </c>
      <c r="M20" t="s">
        <v>330</v>
      </c>
      <c r="N20">
        <v>1.15694951489824E-2</v>
      </c>
      <c r="O20" t="s">
        <v>330</v>
      </c>
      <c r="P20">
        <v>5.7847475744912018E-3</v>
      </c>
      <c r="Q20" s="23">
        <v>1</v>
      </c>
      <c r="R20" t="s">
        <v>330</v>
      </c>
      <c r="S20">
        <v>2.940072438113564E-2</v>
      </c>
      <c r="T20" t="s">
        <v>330</v>
      </c>
      <c r="U20">
        <v>1.7701091007763022E-2</v>
      </c>
      <c r="V20" t="s">
        <v>332</v>
      </c>
      <c r="W20">
        <v>7.6432490722747491E-3</v>
      </c>
      <c r="X20" t="s">
        <v>330</v>
      </c>
      <c r="Y20">
        <v>0.61278161497305939</v>
      </c>
      <c r="Z20" s="23">
        <v>1</v>
      </c>
      <c r="AA20" t="s">
        <v>420</v>
      </c>
      <c r="AB20">
        <v>2.5574116729166932E-4</v>
      </c>
      <c r="AC20" s="23">
        <v>1</v>
      </c>
      <c r="AD20" s="23">
        <v>0</v>
      </c>
      <c r="AE20" s="23">
        <v>1</v>
      </c>
      <c r="AF20" t="s">
        <v>421</v>
      </c>
      <c r="AG20" t="s">
        <v>330</v>
      </c>
      <c r="AH20" t="s">
        <v>422</v>
      </c>
      <c r="AI20">
        <v>6.2161643020144738E-24</v>
      </c>
      <c r="AJ20" t="s">
        <v>330</v>
      </c>
    </row>
    <row r="21" spans="1:36" x14ac:dyDescent="0.25">
      <c r="A21" s="1" t="s">
        <v>423</v>
      </c>
      <c r="B21" s="1" t="s">
        <v>424</v>
      </c>
      <c r="C21" s="1" t="s">
        <v>423</v>
      </c>
      <c r="D21" t="s">
        <v>344</v>
      </c>
      <c r="E21">
        <v>0.82048122908450871</v>
      </c>
      <c r="F21">
        <v>0.60878336607437444</v>
      </c>
      <c r="G21" t="s">
        <v>345</v>
      </c>
      <c r="H21">
        <v>0.13922162999485829</v>
      </c>
      <c r="I21" t="s">
        <v>425</v>
      </c>
      <c r="J21" s="18" t="str">
        <f t="shared" si="0"/>
        <v xml:space="preserve">Leonardo Roberto Amadio </v>
      </c>
      <c r="K21" s="12">
        <f t="shared" si="1"/>
        <v>9</v>
      </c>
      <c r="L21" s="23">
        <v>0.5</v>
      </c>
      <c r="M21" t="s">
        <v>330</v>
      </c>
      <c r="N21">
        <v>1.15694951489824E-2</v>
      </c>
      <c r="O21" t="s">
        <v>330</v>
      </c>
      <c r="P21">
        <v>5.7847475744912018E-3</v>
      </c>
      <c r="Q21" s="23">
        <v>1</v>
      </c>
      <c r="R21" t="s">
        <v>330</v>
      </c>
      <c r="S21">
        <v>2.940072438113564E-2</v>
      </c>
      <c r="T21" t="s">
        <v>330</v>
      </c>
      <c r="U21">
        <v>1.7701091007763022E-2</v>
      </c>
      <c r="V21" t="s">
        <v>332</v>
      </c>
      <c r="W21">
        <v>7.6432490722747491E-3</v>
      </c>
      <c r="X21" t="s">
        <v>330</v>
      </c>
      <c r="Y21">
        <v>0.61278161497305939</v>
      </c>
      <c r="Z21" s="23">
        <v>1</v>
      </c>
      <c r="AA21" t="s">
        <v>333</v>
      </c>
      <c r="AB21" t="s">
        <v>340</v>
      </c>
      <c r="AC21" s="23">
        <v>1</v>
      </c>
      <c r="AD21" s="23">
        <v>1</v>
      </c>
      <c r="AE21" s="23">
        <v>1</v>
      </c>
      <c r="AF21" t="s">
        <v>426</v>
      </c>
    </row>
    <row r="22" spans="1:36" x14ac:dyDescent="0.25">
      <c r="A22" s="1" t="s">
        <v>427</v>
      </c>
      <c r="B22" s="1" t="s">
        <v>428</v>
      </c>
      <c r="C22" s="1" t="s">
        <v>427</v>
      </c>
      <c r="D22" t="s">
        <v>344</v>
      </c>
      <c r="E22">
        <v>0.82</v>
      </c>
      <c r="F22">
        <v>0.60899999999999999</v>
      </c>
      <c r="G22" t="s">
        <v>345</v>
      </c>
      <c r="H22">
        <v>0.13900000000000001</v>
      </c>
      <c r="I22" t="s">
        <v>356</v>
      </c>
      <c r="J22" s="18" t="str">
        <f t="shared" si="0"/>
        <v xml:space="preserve">Leonardo Tagliati da Silva </v>
      </c>
      <c r="K22" s="12">
        <f t="shared" si="1"/>
        <v>8</v>
      </c>
      <c r="L22" s="23">
        <v>0.5</v>
      </c>
      <c r="M22" t="s">
        <v>330</v>
      </c>
      <c r="N22">
        <v>1.2E-2</v>
      </c>
      <c r="O22" t="s">
        <v>330</v>
      </c>
      <c r="P22">
        <v>6.0000000000000001E-3</v>
      </c>
      <c r="Q22" s="23">
        <v>1</v>
      </c>
      <c r="R22" t="s">
        <v>330</v>
      </c>
      <c r="S22">
        <v>2.9000000000000001E-2</v>
      </c>
      <c r="T22" t="s">
        <v>330</v>
      </c>
      <c r="U22">
        <v>1.7999999999999999E-2</v>
      </c>
      <c r="V22" t="s">
        <v>332</v>
      </c>
      <c r="W22">
        <v>8.0000000000000002E-3</v>
      </c>
      <c r="X22" t="s">
        <v>330</v>
      </c>
      <c r="Y22">
        <v>0.61299999999999999</v>
      </c>
      <c r="Z22" s="23">
        <v>1</v>
      </c>
      <c r="AA22" t="s">
        <v>429</v>
      </c>
      <c r="AB22" t="s">
        <v>430</v>
      </c>
      <c r="AC22" s="23">
        <v>0</v>
      </c>
      <c r="AD22" s="23">
        <v>1</v>
      </c>
      <c r="AE22" s="23">
        <v>1</v>
      </c>
      <c r="AF22" t="s">
        <v>431</v>
      </c>
    </row>
    <row r="23" spans="1:36" x14ac:dyDescent="0.25">
      <c r="A23" s="1" t="s">
        <v>432</v>
      </c>
      <c r="B23" s="1"/>
      <c r="C23" s="1" t="s">
        <v>432</v>
      </c>
      <c r="D23" t="s">
        <v>327</v>
      </c>
      <c r="E23">
        <v>0.82</v>
      </c>
      <c r="F23">
        <v>0.60899999999999999</v>
      </c>
      <c r="G23" t="s">
        <v>433</v>
      </c>
      <c r="H23">
        <v>0.13900000000000001</v>
      </c>
      <c r="I23" t="s">
        <v>329</v>
      </c>
      <c r="J23" s="18" t="str">
        <f t="shared" si="0"/>
        <v>Lucas Castanho Paganotto Carvalho 22.0</v>
      </c>
      <c r="K23" s="12">
        <f t="shared" si="1"/>
        <v>4</v>
      </c>
      <c r="L23" s="23">
        <v>0.5</v>
      </c>
      <c r="M23" t="s">
        <v>330</v>
      </c>
      <c r="N23">
        <v>0.11</v>
      </c>
      <c r="O23" t="s">
        <v>330</v>
      </c>
      <c r="P23" t="s">
        <v>330</v>
      </c>
      <c r="Q23" s="23">
        <v>1</v>
      </c>
      <c r="R23">
        <v>0.61299999999999999</v>
      </c>
      <c r="S23" t="s">
        <v>330</v>
      </c>
      <c r="T23" t="s">
        <v>332</v>
      </c>
      <c r="U23" t="s">
        <v>330</v>
      </c>
      <c r="V23" t="s">
        <v>434</v>
      </c>
      <c r="W23" t="s">
        <v>400</v>
      </c>
      <c r="Z23" s="23">
        <v>0</v>
      </c>
      <c r="AC23" s="23">
        <v>0</v>
      </c>
      <c r="AD23" s="23">
        <v>0</v>
      </c>
      <c r="AE23" s="23">
        <v>1</v>
      </c>
      <c r="AF23" t="s">
        <v>435</v>
      </c>
    </row>
    <row r="24" spans="1:36" x14ac:dyDescent="0.25">
      <c r="A24" s="1" t="s">
        <v>436</v>
      </c>
      <c r="B24" s="1" t="s">
        <v>437</v>
      </c>
      <c r="C24" s="1" t="s">
        <v>436</v>
      </c>
      <c r="D24" t="s">
        <v>344</v>
      </c>
      <c r="E24">
        <v>0.82050000000000001</v>
      </c>
      <c r="F24">
        <v>0.60880000000000001</v>
      </c>
      <c r="G24" t="s">
        <v>345</v>
      </c>
      <c r="H24">
        <v>0.13919999999999999</v>
      </c>
      <c r="I24" t="s">
        <v>384</v>
      </c>
      <c r="J24" s="18" t="str">
        <f t="shared" si="0"/>
        <v xml:space="preserve">Lucas Gozze Crapino </v>
      </c>
      <c r="K24" s="12">
        <f t="shared" si="1"/>
        <v>9</v>
      </c>
      <c r="L24" s="23">
        <v>0.5</v>
      </c>
      <c r="M24" t="s">
        <v>330</v>
      </c>
      <c r="N24">
        <v>1.1599999999999999E-2</v>
      </c>
      <c r="O24" t="s">
        <v>330</v>
      </c>
      <c r="P24">
        <v>5.7999999999999996E-3</v>
      </c>
      <c r="Q24" s="23">
        <v>1</v>
      </c>
      <c r="R24" t="s">
        <v>330</v>
      </c>
      <c r="S24">
        <v>2.9399999999999999E-2</v>
      </c>
      <c r="T24" t="s">
        <v>330</v>
      </c>
      <c r="U24">
        <v>1.77E-2</v>
      </c>
      <c r="V24" t="s">
        <v>332</v>
      </c>
      <c r="W24">
        <v>7.6E-3</v>
      </c>
      <c r="X24" t="s">
        <v>330</v>
      </c>
      <c r="Y24">
        <v>0.61280000000000001</v>
      </c>
      <c r="Z24" s="23">
        <v>1</v>
      </c>
      <c r="AA24" t="s">
        <v>333</v>
      </c>
      <c r="AB24" t="s">
        <v>340</v>
      </c>
      <c r="AC24" s="23">
        <v>1</v>
      </c>
      <c r="AD24" s="23">
        <v>1</v>
      </c>
      <c r="AE24" s="23">
        <v>1</v>
      </c>
      <c r="AF24" t="s">
        <v>438</v>
      </c>
    </row>
    <row r="25" spans="1:36" x14ac:dyDescent="0.25">
      <c r="A25" s="1" t="s">
        <v>439</v>
      </c>
      <c r="B25" s="1" t="s">
        <v>440</v>
      </c>
      <c r="C25" s="1" t="s">
        <v>439</v>
      </c>
      <c r="D25" t="s">
        <v>344</v>
      </c>
      <c r="E25">
        <v>0.82</v>
      </c>
      <c r="F25">
        <v>0.60899999999999999</v>
      </c>
      <c r="G25" t="s">
        <v>345</v>
      </c>
      <c r="H25">
        <v>0.13900000000000001</v>
      </c>
      <c r="I25" t="s">
        <v>384</v>
      </c>
      <c r="J25" s="18" t="str">
        <f t="shared" si="0"/>
        <v xml:space="preserve">Lucas Olivares Borges da Silva </v>
      </c>
      <c r="K25" s="12">
        <f t="shared" si="1"/>
        <v>6</v>
      </c>
      <c r="L25" s="23">
        <v>0.5</v>
      </c>
      <c r="M25" t="s">
        <v>330</v>
      </c>
      <c r="N25">
        <v>1.2E-2</v>
      </c>
      <c r="O25" t="s">
        <v>330</v>
      </c>
      <c r="P25">
        <v>6.0000000000000001E-3</v>
      </c>
      <c r="Q25" s="23">
        <v>1</v>
      </c>
      <c r="R25" t="s">
        <v>330</v>
      </c>
      <c r="S25">
        <v>2.9000000000000001E-2</v>
      </c>
      <c r="T25" t="s">
        <v>330</v>
      </c>
      <c r="U25">
        <v>1.7999999999999999E-2</v>
      </c>
      <c r="V25" t="s">
        <v>332</v>
      </c>
      <c r="W25">
        <v>8.0000000000000002E-3</v>
      </c>
      <c r="X25" t="s">
        <v>330</v>
      </c>
      <c r="Y25">
        <v>0.61299999999999999</v>
      </c>
      <c r="Z25" s="23">
        <v>1</v>
      </c>
      <c r="AA25" t="s">
        <v>441</v>
      </c>
      <c r="AB25" t="s">
        <v>442</v>
      </c>
      <c r="AC25" s="23">
        <v>0</v>
      </c>
      <c r="AD25" s="23">
        <v>0</v>
      </c>
      <c r="AE25" s="23">
        <v>1</v>
      </c>
      <c r="AF25" t="s">
        <v>443</v>
      </c>
    </row>
    <row r="26" spans="1:36" x14ac:dyDescent="0.25">
      <c r="A26" s="1" t="s">
        <v>444</v>
      </c>
      <c r="B26" s="1" t="s">
        <v>445</v>
      </c>
      <c r="C26" s="1" t="s">
        <v>444</v>
      </c>
      <c r="D26" t="s">
        <v>344</v>
      </c>
      <c r="E26">
        <v>0.82</v>
      </c>
      <c r="F26">
        <v>0.60899999999999999</v>
      </c>
      <c r="G26" t="s">
        <v>345</v>
      </c>
      <c r="H26">
        <v>0.13900000000000001</v>
      </c>
      <c r="I26" t="s">
        <v>446</v>
      </c>
      <c r="J26" s="18" t="str">
        <f t="shared" si="0"/>
        <v>Luis Gustavo Gonçalves Machado 21.0</v>
      </c>
      <c r="K26" s="12">
        <f t="shared" si="1"/>
        <v>9</v>
      </c>
      <c r="L26" s="23">
        <v>0.5</v>
      </c>
      <c r="M26" t="s">
        <v>330</v>
      </c>
      <c r="N26">
        <v>1.2E-2</v>
      </c>
      <c r="O26" t="s">
        <v>330</v>
      </c>
      <c r="P26">
        <v>6.0000000000000001E-3</v>
      </c>
      <c r="Q26" s="23">
        <v>1</v>
      </c>
      <c r="R26" t="s">
        <v>330</v>
      </c>
      <c r="S26">
        <v>2.9000000000000001E-2</v>
      </c>
      <c r="T26" t="s">
        <v>330</v>
      </c>
      <c r="U26">
        <v>1.7999999999999999E-2</v>
      </c>
      <c r="V26" t="s">
        <v>332</v>
      </c>
      <c r="W26">
        <v>8.0000000000000002E-3</v>
      </c>
      <c r="X26" t="s">
        <v>330</v>
      </c>
      <c r="Y26">
        <v>0.61299999999999999</v>
      </c>
      <c r="Z26" s="23">
        <v>1</v>
      </c>
      <c r="AA26" t="s">
        <v>159</v>
      </c>
      <c r="AB26" t="s">
        <v>340</v>
      </c>
      <c r="AC26" s="23">
        <v>1</v>
      </c>
      <c r="AD26" s="23">
        <v>1</v>
      </c>
      <c r="AE26" s="23">
        <v>1</v>
      </c>
      <c r="AF26" t="s">
        <v>447</v>
      </c>
    </row>
    <row r="27" spans="1:36" x14ac:dyDescent="0.25">
      <c r="A27" s="1" t="s">
        <v>485</v>
      </c>
      <c r="B27" s="1" t="s">
        <v>336</v>
      </c>
      <c r="C27" s="1" t="s">
        <v>335</v>
      </c>
      <c r="D27" t="s">
        <v>337</v>
      </c>
      <c r="E27">
        <v>0.91800000000000004</v>
      </c>
      <c r="G27" t="s">
        <v>338</v>
      </c>
      <c r="I27" t="s">
        <v>339</v>
      </c>
      <c r="J27" s="18" t="str">
        <f t="shared" si="0"/>
        <v xml:space="preserve">Matheus Santos Feitosa </v>
      </c>
      <c r="K27" s="12">
        <f t="shared" si="1"/>
        <v>10</v>
      </c>
      <c r="L27" s="23">
        <v>1</v>
      </c>
      <c r="M27" t="s">
        <v>330</v>
      </c>
      <c r="N27">
        <v>1.2E-2</v>
      </c>
      <c r="O27" t="s">
        <v>330</v>
      </c>
      <c r="P27">
        <v>6.0000000000000001E-3</v>
      </c>
      <c r="Q27" s="23">
        <v>1</v>
      </c>
      <c r="R27" t="s">
        <v>330</v>
      </c>
      <c r="S27">
        <v>2.9000000000000001E-2</v>
      </c>
      <c r="T27" t="s">
        <v>330</v>
      </c>
      <c r="U27">
        <v>1.7999999999999999E-2</v>
      </c>
      <c r="V27" t="s">
        <v>332</v>
      </c>
      <c r="W27">
        <v>8.0000000000000002E-3</v>
      </c>
      <c r="X27" t="s">
        <v>330</v>
      </c>
      <c r="Y27">
        <v>0.61299999999999999</v>
      </c>
      <c r="Z27" s="23">
        <v>1</v>
      </c>
      <c r="AA27" t="s">
        <v>333</v>
      </c>
      <c r="AB27" t="s">
        <v>340</v>
      </c>
      <c r="AC27" s="23">
        <v>1</v>
      </c>
      <c r="AD27" s="23">
        <v>1</v>
      </c>
      <c r="AE27" s="23">
        <v>1</v>
      </c>
      <c r="AF27" t="s">
        <v>341</v>
      </c>
    </row>
    <row r="28" spans="1:36" x14ac:dyDescent="0.25">
      <c r="A28" s="1" t="s">
        <v>448</v>
      </c>
      <c r="B28" s="1" t="s">
        <v>449</v>
      </c>
      <c r="C28" s="1" t="s">
        <v>448</v>
      </c>
      <c r="D28" t="s">
        <v>344</v>
      </c>
      <c r="E28">
        <v>0.82050000000000001</v>
      </c>
      <c r="F28">
        <v>0.60880000000000001</v>
      </c>
      <c r="G28" t="s">
        <v>345</v>
      </c>
      <c r="H28">
        <v>0.13919999999999999</v>
      </c>
      <c r="I28" t="s">
        <v>384</v>
      </c>
      <c r="J28" s="18" t="str">
        <f t="shared" si="0"/>
        <v xml:space="preserve">Murillo Penha Strina </v>
      </c>
      <c r="K28" s="12">
        <f t="shared" si="1"/>
        <v>9</v>
      </c>
      <c r="L28" s="23">
        <v>0.5</v>
      </c>
      <c r="M28" t="s">
        <v>330</v>
      </c>
      <c r="N28">
        <v>1.1599999999999999E-2</v>
      </c>
      <c r="O28" t="s">
        <v>330</v>
      </c>
      <c r="P28">
        <v>5.7999999999999996E-3</v>
      </c>
      <c r="Q28" s="23">
        <v>1</v>
      </c>
      <c r="R28" t="s">
        <v>330</v>
      </c>
      <c r="S28">
        <v>2.9399999999999999E-2</v>
      </c>
      <c r="T28" t="s">
        <v>330</v>
      </c>
      <c r="U28">
        <v>1.77E-2</v>
      </c>
      <c r="V28" t="s">
        <v>332</v>
      </c>
      <c r="W28">
        <v>7.6E-3</v>
      </c>
      <c r="X28" t="s">
        <v>330</v>
      </c>
      <c r="Y28">
        <v>0.61280000000000001</v>
      </c>
      <c r="Z28" s="23">
        <v>1</v>
      </c>
      <c r="AA28" t="s">
        <v>159</v>
      </c>
      <c r="AB28" t="s">
        <v>340</v>
      </c>
      <c r="AC28" s="23">
        <v>1</v>
      </c>
      <c r="AD28" s="23">
        <v>1</v>
      </c>
      <c r="AE28" s="23">
        <v>1</v>
      </c>
      <c r="AF28" t="s">
        <v>450</v>
      </c>
    </row>
    <row r="29" spans="1:36" x14ac:dyDescent="0.25">
      <c r="A29" s="1" t="s">
        <v>451</v>
      </c>
      <c r="B29" s="1" t="s">
        <v>452</v>
      </c>
      <c r="C29" s="1" t="s">
        <v>451</v>
      </c>
      <c r="D29" t="s">
        <v>344</v>
      </c>
      <c r="E29">
        <v>0.82050000000000001</v>
      </c>
      <c r="F29">
        <v>0.60880000000000001</v>
      </c>
      <c r="G29" t="s">
        <v>345</v>
      </c>
      <c r="H29">
        <v>0.13919999999999999</v>
      </c>
      <c r="I29" t="s">
        <v>346</v>
      </c>
      <c r="J29" s="18" t="str">
        <f t="shared" si="0"/>
        <v>Otto Camargo Kuchkaria 22.0</v>
      </c>
      <c r="K29" s="12">
        <f t="shared" si="1"/>
        <v>8</v>
      </c>
      <c r="L29" s="23">
        <v>0.5</v>
      </c>
      <c r="M29" t="s">
        <v>453</v>
      </c>
      <c r="N29">
        <v>1.1599999999999999E-2</v>
      </c>
      <c r="O29" t="s">
        <v>453</v>
      </c>
      <c r="P29">
        <v>5.7999999999999996E-3</v>
      </c>
      <c r="Q29" s="23">
        <v>0.5</v>
      </c>
      <c r="R29" t="s">
        <v>330</v>
      </c>
      <c r="S29">
        <v>2.9399999999999999E-2</v>
      </c>
      <c r="T29" t="s">
        <v>332</v>
      </c>
      <c r="U29">
        <v>1.77E-2</v>
      </c>
      <c r="V29" t="s">
        <v>332</v>
      </c>
      <c r="W29">
        <v>7.6E-3</v>
      </c>
      <c r="X29" t="s">
        <v>330</v>
      </c>
      <c r="Y29">
        <v>0.61280000000000001</v>
      </c>
      <c r="Z29" s="23">
        <v>1</v>
      </c>
      <c r="AA29" t="s">
        <v>159</v>
      </c>
      <c r="AB29" t="s">
        <v>340</v>
      </c>
      <c r="AC29" s="23">
        <v>1</v>
      </c>
      <c r="AD29" s="23">
        <v>1</v>
      </c>
      <c r="AE29" s="23">
        <v>1</v>
      </c>
      <c r="AF29" t="s">
        <v>454</v>
      </c>
    </row>
    <row r="30" spans="1:36" x14ac:dyDescent="0.25">
      <c r="A30" s="1" t="s">
        <v>455</v>
      </c>
      <c r="B30" s="1" t="s">
        <v>456</v>
      </c>
      <c r="C30" s="1" t="s">
        <v>455</v>
      </c>
      <c r="D30" t="s">
        <v>344</v>
      </c>
      <c r="E30">
        <v>0.82050000000000001</v>
      </c>
      <c r="F30">
        <v>0.60880000000000001</v>
      </c>
      <c r="G30" t="s">
        <v>345</v>
      </c>
      <c r="H30">
        <v>0.13919999999999999</v>
      </c>
      <c r="I30" t="s">
        <v>408</v>
      </c>
      <c r="J30" s="18" t="str">
        <f t="shared" si="0"/>
        <v>Pedro Campos Dec 22.0</v>
      </c>
      <c r="K30" s="12">
        <f t="shared" si="1"/>
        <v>6</v>
      </c>
      <c r="L30" s="23">
        <v>0.5</v>
      </c>
      <c r="M30" t="s">
        <v>330</v>
      </c>
      <c r="N30">
        <v>1.1599999999999999E-2</v>
      </c>
      <c r="O30" t="s">
        <v>330</v>
      </c>
      <c r="P30">
        <v>5.7999999999999996E-3</v>
      </c>
      <c r="Q30" s="23">
        <v>1</v>
      </c>
      <c r="R30" t="s">
        <v>330</v>
      </c>
      <c r="S30">
        <v>2.9399999999999999E-2</v>
      </c>
      <c r="T30" t="s">
        <v>330</v>
      </c>
      <c r="U30">
        <v>1.77E-2</v>
      </c>
      <c r="V30" t="s">
        <v>332</v>
      </c>
      <c r="W30">
        <v>7.6E-3</v>
      </c>
      <c r="X30" t="s">
        <v>330</v>
      </c>
      <c r="Y30">
        <v>0.61280000000000001</v>
      </c>
      <c r="Z30" s="23">
        <v>1</v>
      </c>
      <c r="AA30" t="s">
        <v>177</v>
      </c>
      <c r="AB30" t="s">
        <v>400</v>
      </c>
      <c r="AC30" s="23">
        <v>0</v>
      </c>
      <c r="AD30" s="23">
        <v>0</v>
      </c>
      <c r="AE30" s="23">
        <v>1</v>
      </c>
      <c r="AF30" t="s">
        <v>457</v>
      </c>
    </row>
    <row r="31" spans="1:36" x14ac:dyDescent="0.25">
      <c r="A31" s="1" t="s">
        <v>458</v>
      </c>
      <c r="B31" s="1" t="s">
        <v>459</v>
      </c>
      <c r="C31" s="1" t="s">
        <v>458</v>
      </c>
      <c r="D31" t="s">
        <v>344</v>
      </c>
      <c r="E31">
        <v>0.82</v>
      </c>
      <c r="F31">
        <v>0.60899999999999999</v>
      </c>
      <c r="G31" t="s">
        <v>345</v>
      </c>
      <c r="H31">
        <v>0.13900000000000001</v>
      </c>
      <c r="I31" t="s">
        <v>339</v>
      </c>
      <c r="J31" s="18" t="str">
        <f t="shared" si="0"/>
        <v>Rafael Assanti 22.0</v>
      </c>
      <c r="K31" s="12">
        <f t="shared" si="1"/>
        <v>9</v>
      </c>
      <c r="L31" s="23">
        <v>0.5</v>
      </c>
      <c r="M31" t="s">
        <v>330</v>
      </c>
      <c r="N31">
        <v>1.2E-2</v>
      </c>
      <c r="O31" t="s">
        <v>330</v>
      </c>
      <c r="P31">
        <v>6.0000000000000001E-3</v>
      </c>
      <c r="Q31" s="23">
        <v>1</v>
      </c>
      <c r="R31" t="s">
        <v>330</v>
      </c>
      <c r="S31">
        <v>2.9000000000000001E-2</v>
      </c>
      <c r="T31" t="s">
        <v>330</v>
      </c>
      <c r="U31">
        <v>1.7999999999999999E-2</v>
      </c>
      <c r="V31" t="s">
        <v>332</v>
      </c>
      <c r="W31">
        <v>8.0000000000000002E-3</v>
      </c>
      <c r="X31" t="s">
        <v>330</v>
      </c>
      <c r="Y31">
        <v>0.61299999999999999</v>
      </c>
      <c r="Z31" s="23">
        <v>1</v>
      </c>
      <c r="AA31" t="s">
        <v>159</v>
      </c>
      <c r="AB31" t="s">
        <v>340</v>
      </c>
      <c r="AC31" s="23">
        <v>1</v>
      </c>
      <c r="AD31" s="23">
        <v>1</v>
      </c>
      <c r="AE31" s="23">
        <v>1</v>
      </c>
      <c r="AF31" t="s">
        <v>460</v>
      </c>
    </row>
    <row r="32" spans="1:36" x14ac:dyDescent="0.25">
      <c r="A32" s="1" t="s">
        <v>461</v>
      </c>
      <c r="B32" s="1" t="s">
        <v>462</v>
      </c>
      <c r="C32" s="1" t="s">
        <v>461</v>
      </c>
      <c r="D32" t="s">
        <v>344</v>
      </c>
      <c r="E32">
        <v>0</v>
      </c>
      <c r="F32">
        <v>3.0000000000000001E-3</v>
      </c>
      <c r="G32" t="s">
        <v>345</v>
      </c>
      <c r="H32">
        <v>0.41</v>
      </c>
      <c r="I32" t="s">
        <v>366</v>
      </c>
      <c r="J32" s="18" t="str">
        <f t="shared" si="0"/>
        <v xml:space="preserve">Rafael Maciel Bertani </v>
      </c>
      <c r="K32" s="12">
        <f t="shared" si="1"/>
        <v>4</v>
      </c>
      <c r="L32" s="23">
        <v>0.5</v>
      </c>
      <c r="M32" t="s">
        <v>332</v>
      </c>
      <c r="N32">
        <v>0.19500000000000001</v>
      </c>
      <c r="O32" t="s">
        <v>332</v>
      </c>
      <c r="P32">
        <v>0.90300000000000002</v>
      </c>
      <c r="Q32" s="23">
        <v>0</v>
      </c>
      <c r="R32" t="s">
        <v>332</v>
      </c>
      <c r="S32">
        <v>0.92500000000000004</v>
      </c>
      <c r="T32" t="s">
        <v>332</v>
      </c>
      <c r="U32">
        <v>0.90900000000000003</v>
      </c>
      <c r="V32" t="s">
        <v>332</v>
      </c>
      <c r="W32">
        <v>0</v>
      </c>
      <c r="X32" t="s">
        <v>332</v>
      </c>
      <c r="Y32">
        <v>0</v>
      </c>
      <c r="Z32" s="23">
        <v>0</v>
      </c>
      <c r="AA32" t="s">
        <v>463</v>
      </c>
      <c r="AB32" t="s">
        <v>464</v>
      </c>
      <c r="AC32" s="23">
        <v>0</v>
      </c>
      <c r="AD32" s="23">
        <v>1</v>
      </c>
      <c r="AE32" s="23">
        <v>1</v>
      </c>
      <c r="AF32" t="s">
        <v>465</v>
      </c>
    </row>
    <row r="33" spans="1:32" x14ac:dyDescent="0.25">
      <c r="A33" s="1" t="s">
        <v>466</v>
      </c>
      <c r="B33" s="1" t="s">
        <v>467</v>
      </c>
      <c r="C33" s="1" t="s">
        <v>466</v>
      </c>
      <c r="D33" t="s">
        <v>344</v>
      </c>
      <c r="E33">
        <v>0.60899999999999999</v>
      </c>
      <c r="F33">
        <v>0.82</v>
      </c>
      <c r="G33" t="s">
        <v>345</v>
      </c>
      <c r="H33">
        <v>0.13900000000000001</v>
      </c>
      <c r="I33" t="s">
        <v>346</v>
      </c>
      <c r="J33" s="18" t="str">
        <f t="shared" si="0"/>
        <v xml:space="preserve">Rodrigo Fernandes Faltz </v>
      </c>
      <c r="K33" s="12">
        <f t="shared" si="1"/>
        <v>9</v>
      </c>
      <c r="L33" s="23">
        <v>0.5</v>
      </c>
      <c r="M33" t="s">
        <v>330</v>
      </c>
      <c r="N33">
        <v>1.2E-2</v>
      </c>
      <c r="O33" t="s">
        <v>330</v>
      </c>
      <c r="P33">
        <v>6.0000000000000001E-3</v>
      </c>
      <c r="Q33" s="23">
        <v>1</v>
      </c>
      <c r="R33" t="s">
        <v>330</v>
      </c>
      <c r="S33">
        <v>2.9000000000000001E-2</v>
      </c>
      <c r="T33" t="s">
        <v>330</v>
      </c>
      <c r="U33">
        <v>1.7999999999999999E-2</v>
      </c>
      <c r="V33" t="s">
        <v>332</v>
      </c>
      <c r="W33">
        <v>8.0000000000000002E-3</v>
      </c>
      <c r="X33" t="s">
        <v>330</v>
      </c>
      <c r="Y33">
        <v>0.61299999999999999</v>
      </c>
      <c r="Z33" s="23">
        <v>1</v>
      </c>
      <c r="AA33" t="s">
        <v>159</v>
      </c>
      <c r="AB33" t="s">
        <v>340</v>
      </c>
      <c r="AC33" s="23">
        <v>1</v>
      </c>
      <c r="AD33" s="23">
        <v>1</v>
      </c>
      <c r="AE33" s="23">
        <v>1</v>
      </c>
      <c r="AF33" t="s">
        <v>468</v>
      </c>
    </row>
    <row r="34" spans="1:32" x14ac:dyDescent="0.25">
      <c r="A34" s="1" t="s">
        <v>469</v>
      </c>
      <c r="B34" s="1" t="s">
        <v>470</v>
      </c>
      <c r="C34" s="1" t="s">
        <v>469</v>
      </c>
      <c r="D34" t="s">
        <v>344</v>
      </c>
      <c r="E34">
        <v>0.82048122908450871</v>
      </c>
      <c r="F34">
        <v>0.60878336607437444</v>
      </c>
      <c r="G34" t="s">
        <v>345</v>
      </c>
      <c r="H34">
        <v>0.13922162999485829</v>
      </c>
      <c r="I34" t="s">
        <v>471</v>
      </c>
      <c r="J34" s="18" t="str">
        <f t="shared" si="0"/>
        <v>Rodrigo Reis Monasterios Morales 22.0</v>
      </c>
      <c r="K34" s="12">
        <f t="shared" si="1"/>
        <v>7</v>
      </c>
      <c r="L34" s="23">
        <v>0.5</v>
      </c>
      <c r="M34" t="s">
        <v>330</v>
      </c>
      <c r="N34">
        <v>1.15694951489824E-2</v>
      </c>
      <c r="O34" t="s">
        <v>330</v>
      </c>
      <c r="P34">
        <v>5.7847475744912018E-3</v>
      </c>
      <c r="Q34" s="23">
        <v>0.5</v>
      </c>
      <c r="R34" t="s">
        <v>332</v>
      </c>
      <c r="S34">
        <v>0.61278161497305939</v>
      </c>
      <c r="T34" t="s">
        <v>330</v>
      </c>
      <c r="U34" t="s">
        <v>330</v>
      </c>
      <c r="V34" t="s">
        <v>332</v>
      </c>
      <c r="W34" t="s">
        <v>159</v>
      </c>
      <c r="X34" t="s">
        <v>340</v>
      </c>
      <c r="Z34" s="23">
        <v>0</v>
      </c>
      <c r="AC34" s="23">
        <v>1</v>
      </c>
      <c r="AD34" s="23">
        <v>1</v>
      </c>
      <c r="AE34" s="23">
        <v>1</v>
      </c>
      <c r="AF34" t="s">
        <v>472</v>
      </c>
    </row>
    <row r="35" spans="1:32" x14ac:dyDescent="0.25">
      <c r="A35" s="1" t="s">
        <v>473</v>
      </c>
      <c r="B35" s="1" t="s">
        <v>474</v>
      </c>
      <c r="C35" s="1" t="s">
        <v>473</v>
      </c>
      <c r="D35" t="s">
        <v>344</v>
      </c>
      <c r="E35">
        <v>0.82</v>
      </c>
      <c r="F35">
        <v>0.60899999999999999</v>
      </c>
      <c r="G35" t="s">
        <v>345</v>
      </c>
      <c r="H35">
        <v>0.13900000000000001</v>
      </c>
      <c r="I35" t="s">
        <v>329</v>
      </c>
      <c r="J35" s="18" t="str">
        <f t="shared" si="0"/>
        <v>Sergio Guidi Trovo 22.0</v>
      </c>
      <c r="K35" s="12">
        <f t="shared" si="1"/>
        <v>8</v>
      </c>
      <c r="L35" s="23">
        <v>0.5</v>
      </c>
      <c r="M35" t="s">
        <v>330</v>
      </c>
      <c r="N35">
        <v>1.2E-2</v>
      </c>
      <c r="O35" t="s">
        <v>330</v>
      </c>
      <c r="P35">
        <v>0.99399999999999999</v>
      </c>
      <c r="Q35" s="23">
        <v>0.5</v>
      </c>
      <c r="R35" t="s">
        <v>332</v>
      </c>
      <c r="S35">
        <v>5.8999999999999997E-2</v>
      </c>
      <c r="T35" t="s">
        <v>330</v>
      </c>
      <c r="U35">
        <v>2.9000000000000001E-2</v>
      </c>
      <c r="V35" t="s">
        <v>330</v>
      </c>
      <c r="W35">
        <v>8.0000000000000002E-3</v>
      </c>
      <c r="X35" t="s">
        <v>332</v>
      </c>
      <c r="Y35">
        <v>0.61199999999999999</v>
      </c>
      <c r="Z35" s="23">
        <v>0.5</v>
      </c>
      <c r="AA35" t="s">
        <v>159</v>
      </c>
      <c r="AB35" t="s">
        <v>340</v>
      </c>
      <c r="AC35" s="23">
        <v>1</v>
      </c>
      <c r="AD35" s="23">
        <v>1</v>
      </c>
      <c r="AE35" s="23">
        <v>1</v>
      </c>
      <c r="AF35" t="s">
        <v>475</v>
      </c>
    </row>
    <row r="36" spans="1:32" x14ac:dyDescent="0.25">
      <c r="A36" s="1" t="s">
        <v>476</v>
      </c>
      <c r="B36" s="1" t="s">
        <v>477</v>
      </c>
      <c r="C36" s="1" t="s">
        <v>476</v>
      </c>
      <c r="D36" t="s">
        <v>344</v>
      </c>
      <c r="E36">
        <v>0.82050000000000001</v>
      </c>
      <c r="F36">
        <v>0.60880000000000001</v>
      </c>
      <c r="G36" t="s">
        <v>345</v>
      </c>
      <c r="H36">
        <v>0.13919999999999999</v>
      </c>
      <c r="I36" t="s">
        <v>384</v>
      </c>
      <c r="J36" s="18" t="str">
        <f t="shared" si="0"/>
        <v xml:space="preserve">Tiago Tadeu de Azevedo </v>
      </c>
      <c r="K36" s="12">
        <f t="shared" si="1"/>
        <v>9</v>
      </c>
      <c r="L36" s="23">
        <v>0.5</v>
      </c>
      <c r="M36" t="s">
        <v>330</v>
      </c>
      <c r="N36">
        <v>1.1599999999999999E-2</v>
      </c>
      <c r="O36" t="s">
        <v>330</v>
      </c>
      <c r="P36">
        <v>5.7999999999999996E-3</v>
      </c>
      <c r="Q36" s="23">
        <v>1</v>
      </c>
      <c r="R36" t="s">
        <v>330</v>
      </c>
      <c r="S36">
        <v>2.9399999999999999E-2</v>
      </c>
      <c r="T36" t="s">
        <v>330</v>
      </c>
      <c r="U36">
        <v>1.77E-2</v>
      </c>
      <c r="V36" t="s">
        <v>332</v>
      </c>
      <c r="W36">
        <v>7.6E-3</v>
      </c>
      <c r="X36" t="s">
        <v>330</v>
      </c>
      <c r="Y36">
        <v>0.61280000000000001</v>
      </c>
      <c r="Z36" s="23">
        <v>1</v>
      </c>
      <c r="AA36" t="s">
        <v>333</v>
      </c>
      <c r="AB36" t="s">
        <v>340</v>
      </c>
      <c r="AC36" s="23">
        <v>1</v>
      </c>
      <c r="AD36" s="23">
        <v>1</v>
      </c>
      <c r="AE36" s="23">
        <v>1</v>
      </c>
      <c r="AF36" t="s">
        <v>478</v>
      </c>
    </row>
    <row r="37" spans="1:32" x14ac:dyDescent="0.25">
      <c r="A37" s="1" t="s">
        <v>479</v>
      </c>
      <c r="B37" s="1" t="s">
        <v>480</v>
      </c>
      <c r="C37" s="1" t="s">
        <v>479</v>
      </c>
      <c r="D37" t="s">
        <v>344</v>
      </c>
      <c r="E37">
        <v>0.82048122908450871</v>
      </c>
      <c r="F37">
        <v>0.60878336607437444</v>
      </c>
      <c r="G37" t="s">
        <v>345</v>
      </c>
      <c r="H37">
        <v>0.13922162999485829</v>
      </c>
      <c r="I37" t="s">
        <v>356</v>
      </c>
      <c r="J37" s="18" t="str">
        <f t="shared" si="0"/>
        <v>Victor Augusto de Gasperi 22.0</v>
      </c>
      <c r="K37" s="12">
        <f t="shared" si="1"/>
        <v>6</v>
      </c>
      <c r="L37" s="23">
        <v>0.5</v>
      </c>
      <c r="M37" t="s">
        <v>330</v>
      </c>
      <c r="N37">
        <v>1.15694951489824E-2</v>
      </c>
      <c r="O37" t="s">
        <v>330</v>
      </c>
      <c r="P37">
        <v>5.7847475744912018E-3</v>
      </c>
      <c r="Q37" s="23">
        <v>1</v>
      </c>
      <c r="R37" t="s">
        <v>330</v>
      </c>
      <c r="S37">
        <v>2.940072438113564E-2</v>
      </c>
      <c r="T37" t="s">
        <v>330</v>
      </c>
      <c r="U37">
        <v>1.7701091007763022E-2</v>
      </c>
      <c r="V37" t="s">
        <v>332</v>
      </c>
      <c r="W37">
        <v>7.6432490722747491E-3</v>
      </c>
      <c r="X37" t="s">
        <v>330</v>
      </c>
      <c r="Y37">
        <v>0.61278161497305939</v>
      </c>
      <c r="Z37" s="23">
        <v>1</v>
      </c>
      <c r="AA37" t="s">
        <v>481</v>
      </c>
      <c r="AB37" t="s">
        <v>400</v>
      </c>
      <c r="AC37" s="23">
        <v>0</v>
      </c>
      <c r="AD37" s="23">
        <v>0</v>
      </c>
      <c r="AE37" s="23">
        <v>1</v>
      </c>
      <c r="AF37" t="s">
        <v>482</v>
      </c>
    </row>
    <row r="38" spans="1:32" x14ac:dyDescent="0.25">
      <c r="A38" s="1" t="s">
        <v>483</v>
      </c>
      <c r="B38" s="1" t="s">
        <v>484</v>
      </c>
      <c r="C38" s="1" t="s">
        <v>483</v>
      </c>
      <c r="D38" t="s">
        <v>344</v>
      </c>
      <c r="E38">
        <v>0.82050000000000001</v>
      </c>
      <c r="F38">
        <v>0.60880000000000001</v>
      </c>
      <c r="G38" t="s">
        <v>345</v>
      </c>
      <c r="H38">
        <v>0.13919999999999999</v>
      </c>
      <c r="I38" t="s">
        <v>384</v>
      </c>
      <c r="J38" s="18" t="str">
        <f t="shared" si="0"/>
        <v>Vinicius Garcia Imendes Dechechi 22.0</v>
      </c>
      <c r="K38" s="12">
        <f t="shared" si="1"/>
        <v>9</v>
      </c>
      <c r="L38" s="23">
        <v>0.5</v>
      </c>
      <c r="M38" t="s">
        <v>330</v>
      </c>
      <c r="N38">
        <v>1.1599999999999999E-2</v>
      </c>
      <c r="O38" t="s">
        <v>330</v>
      </c>
      <c r="P38">
        <v>5.7999999999999996E-3</v>
      </c>
      <c r="Q38" s="23">
        <v>1</v>
      </c>
      <c r="R38" t="s">
        <v>330</v>
      </c>
      <c r="S38">
        <v>2.9399999999999999E-2</v>
      </c>
      <c r="T38" t="s">
        <v>330</v>
      </c>
      <c r="U38">
        <v>1.77E-2</v>
      </c>
      <c r="V38" t="s">
        <v>332</v>
      </c>
      <c r="W38">
        <v>7.6E-3</v>
      </c>
      <c r="X38" t="s">
        <v>330</v>
      </c>
      <c r="Y38">
        <v>0.61280000000000001</v>
      </c>
      <c r="Z38" s="23">
        <v>1</v>
      </c>
      <c r="AA38" t="s">
        <v>159</v>
      </c>
      <c r="AB38" t="s">
        <v>340</v>
      </c>
      <c r="AC38" s="23">
        <v>1</v>
      </c>
      <c r="AD38" s="23">
        <v>1</v>
      </c>
      <c r="AE38" s="23">
        <v>1</v>
      </c>
      <c r="AF38" t="s">
        <v>395</v>
      </c>
    </row>
    <row r="39" spans="1:32" x14ac:dyDescent="0.25">
      <c r="A39" s="1" t="s">
        <v>326</v>
      </c>
      <c r="B39" s="25"/>
      <c r="C39" s="1" t="s">
        <v>326</v>
      </c>
      <c r="D39" t="s">
        <v>327</v>
      </c>
      <c r="E39">
        <v>0.82</v>
      </c>
      <c r="F39">
        <v>0.60899999999999999</v>
      </c>
      <c r="G39" t="s">
        <v>328</v>
      </c>
      <c r="H39">
        <v>0.16500000000000001</v>
      </c>
      <c r="I39" t="s">
        <v>329</v>
      </c>
      <c r="K39" s="12">
        <f t="shared" si="1"/>
        <v>10</v>
      </c>
      <c r="L39" s="23">
        <v>1</v>
      </c>
      <c r="M39" t="s">
        <v>330</v>
      </c>
      <c r="N39">
        <v>1.2E-2</v>
      </c>
      <c r="O39" t="s">
        <v>331</v>
      </c>
      <c r="P39">
        <v>6.0000000000000001E-3</v>
      </c>
      <c r="Q39" s="23">
        <v>1</v>
      </c>
      <c r="R39" t="s">
        <v>330</v>
      </c>
      <c r="S39">
        <v>2.9000000000000001E-2</v>
      </c>
      <c r="T39" t="s">
        <v>330</v>
      </c>
      <c r="U39">
        <v>1.7999999999999999E-2</v>
      </c>
      <c r="V39" t="s">
        <v>332</v>
      </c>
      <c r="W39">
        <v>8.0000000000000002E-3</v>
      </c>
      <c r="X39" t="s">
        <v>330</v>
      </c>
      <c r="Y39">
        <v>0.61299999999999999</v>
      </c>
      <c r="Z39" s="23">
        <v>1</v>
      </c>
      <c r="AA39" t="s">
        <v>333</v>
      </c>
      <c r="AB39" t="s">
        <v>333</v>
      </c>
      <c r="AC39" s="23">
        <v>1</v>
      </c>
      <c r="AD39" s="23">
        <v>1</v>
      </c>
      <c r="AE39" s="23">
        <v>1</v>
      </c>
      <c r="AF39" t="s">
        <v>334</v>
      </c>
    </row>
  </sheetData>
  <autoFilter ref="A1:AW50" xr:uid="{04E596AC-AB2A-4F3F-833D-769CA93750C4}">
    <sortState xmlns:xlrd2="http://schemas.microsoft.com/office/spreadsheetml/2017/richdata2" ref="A2:AW50">
      <sortCondition ref="J1:J50"/>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opLeftCell="A12" workbookViewId="0">
      <selection sqref="A1:N36"/>
    </sheetView>
  </sheetViews>
  <sheetFormatPr defaultRowHeight="15" x14ac:dyDescent="0.25"/>
  <cols>
    <col min="1" max="1" width="79.7109375" bestFit="1" customWidth="1"/>
  </cols>
  <sheetData>
    <row r="1" spans="1:14" x14ac:dyDescent="0.25">
      <c r="B1" s="1" t="s">
        <v>0</v>
      </c>
      <c r="C1" s="1" t="s">
        <v>1</v>
      </c>
      <c r="D1" s="1" t="s">
        <v>2</v>
      </c>
      <c r="E1" s="1" t="s">
        <v>3</v>
      </c>
      <c r="F1" s="1" t="s">
        <v>4</v>
      </c>
      <c r="G1" s="1" t="s">
        <v>5</v>
      </c>
      <c r="H1" s="1" t="s">
        <v>6</v>
      </c>
      <c r="I1" s="1" t="s">
        <v>7</v>
      </c>
      <c r="J1" s="1" t="s">
        <v>8</v>
      </c>
      <c r="K1" s="1" t="s">
        <v>9</v>
      </c>
      <c r="L1" s="1" t="s">
        <v>10</v>
      </c>
      <c r="M1" s="1" t="s">
        <v>11</v>
      </c>
      <c r="N1" s="1" t="s">
        <v>0</v>
      </c>
    </row>
    <row r="2" spans="1:14" x14ac:dyDescent="0.25">
      <c r="A2" s="1" t="s">
        <v>12</v>
      </c>
      <c r="B2" t="s">
        <v>13</v>
      </c>
      <c r="C2" t="s">
        <v>14</v>
      </c>
      <c r="D2" t="s">
        <v>15</v>
      </c>
      <c r="E2" t="s">
        <v>16</v>
      </c>
      <c r="F2" t="s">
        <v>17</v>
      </c>
      <c r="G2" t="s">
        <v>18</v>
      </c>
      <c r="H2" t="s">
        <v>18</v>
      </c>
      <c r="I2" t="s">
        <v>19</v>
      </c>
      <c r="J2" t="s">
        <v>16</v>
      </c>
      <c r="K2" t="s">
        <v>16</v>
      </c>
      <c r="L2" t="s">
        <v>18</v>
      </c>
      <c r="M2" t="s">
        <v>13</v>
      </c>
      <c r="N2" t="s">
        <v>13</v>
      </c>
    </row>
    <row r="3" spans="1:14" x14ac:dyDescent="0.25">
      <c r="A3" s="1" t="s">
        <v>20</v>
      </c>
      <c r="B3">
        <v>0</v>
      </c>
      <c r="C3">
        <v>4.5493000000000001E-23</v>
      </c>
      <c r="D3">
        <v>4.5493000000000001E-23</v>
      </c>
      <c r="E3">
        <v>0</v>
      </c>
      <c r="F3">
        <v>0</v>
      </c>
      <c r="G3">
        <v>4.5492517112987927E-23</v>
      </c>
      <c r="H3">
        <v>0</v>
      </c>
      <c r="I3">
        <v>0</v>
      </c>
      <c r="J3">
        <v>0</v>
      </c>
      <c r="K3">
        <v>4.5492517112987927E-23</v>
      </c>
      <c r="L3">
        <v>0</v>
      </c>
      <c r="M3">
        <v>4.5490000000000004</v>
      </c>
      <c r="N3">
        <v>0</v>
      </c>
    </row>
    <row r="4" spans="1:14" x14ac:dyDescent="0.25">
      <c r="A4" s="1" t="s">
        <v>21</v>
      </c>
      <c r="B4" t="s">
        <v>22</v>
      </c>
      <c r="C4" t="s">
        <v>22</v>
      </c>
      <c r="D4" t="s">
        <v>23</v>
      </c>
      <c r="E4" t="s">
        <v>22</v>
      </c>
      <c r="F4" t="s">
        <v>22</v>
      </c>
      <c r="G4" t="s">
        <v>22</v>
      </c>
      <c r="H4" t="s">
        <v>22</v>
      </c>
      <c r="I4" t="s">
        <v>22</v>
      </c>
      <c r="J4" t="s">
        <v>24</v>
      </c>
      <c r="K4" t="s">
        <v>22</v>
      </c>
      <c r="L4" t="s">
        <v>22</v>
      </c>
      <c r="M4" t="s">
        <v>22</v>
      </c>
      <c r="N4" t="s">
        <v>22</v>
      </c>
    </row>
    <row r="5" spans="1:14" x14ac:dyDescent="0.25">
      <c r="A5" s="1" t="s">
        <v>25</v>
      </c>
      <c r="B5" t="s">
        <v>26</v>
      </c>
      <c r="C5" t="s">
        <v>27</v>
      </c>
      <c r="D5" t="s">
        <v>28</v>
      </c>
      <c r="E5" t="s">
        <v>26</v>
      </c>
      <c r="F5" t="s">
        <v>26</v>
      </c>
      <c r="G5" t="s">
        <v>26</v>
      </c>
      <c r="H5" t="s">
        <v>26</v>
      </c>
      <c r="I5" t="s">
        <v>29</v>
      </c>
      <c r="J5" t="s">
        <v>30</v>
      </c>
      <c r="K5" t="s">
        <v>29</v>
      </c>
      <c r="L5" t="s">
        <v>26</v>
      </c>
      <c r="M5" t="s">
        <v>26</v>
      </c>
      <c r="N5" t="s">
        <v>26</v>
      </c>
    </row>
    <row r="6" spans="1:14" x14ac:dyDescent="0.25">
      <c r="A6" s="1" t="s">
        <v>31</v>
      </c>
      <c r="B6">
        <v>0.62</v>
      </c>
      <c r="C6">
        <v>0.62960000000000005</v>
      </c>
      <c r="D6">
        <v>0.63</v>
      </c>
      <c r="E6">
        <v>0.8</v>
      </c>
      <c r="F6">
        <v>0.63</v>
      </c>
      <c r="G6">
        <v>0.62962962962962965</v>
      </c>
      <c r="H6">
        <v>0.63</v>
      </c>
      <c r="I6">
        <v>0.63</v>
      </c>
      <c r="J6">
        <v>0.8</v>
      </c>
      <c r="K6">
        <v>0.63</v>
      </c>
      <c r="L6">
        <v>0.63</v>
      </c>
      <c r="M6">
        <v>0.8</v>
      </c>
      <c r="N6">
        <v>0.62</v>
      </c>
    </row>
    <row r="7" spans="1:14" x14ac:dyDescent="0.25">
      <c r="A7" s="1" t="s">
        <v>32</v>
      </c>
      <c r="B7">
        <v>0.24</v>
      </c>
      <c r="C7">
        <v>0.2424</v>
      </c>
      <c r="D7">
        <v>0.24</v>
      </c>
      <c r="E7">
        <v>0.6</v>
      </c>
      <c r="F7">
        <v>0.24</v>
      </c>
      <c r="G7">
        <v>0.24236252545824849</v>
      </c>
      <c r="H7">
        <v>0.24</v>
      </c>
      <c r="I7">
        <v>0.24</v>
      </c>
      <c r="J7">
        <v>0.6</v>
      </c>
      <c r="K7">
        <v>0.24</v>
      </c>
      <c r="L7">
        <v>0.24</v>
      </c>
      <c r="M7">
        <v>0.6</v>
      </c>
      <c r="N7">
        <v>0.24</v>
      </c>
    </row>
    <row r="8" spans="1:14" x14ac:dyDescent="0.25">
      <c r="A8" s="1" t="s">
        <v>33</v>
      </c>
      <c r="B8">
        <v>2.58</v>
      </c>
      <c r="C8">
        <v>2.6</v>
      </c>
      <c r="D8">
        <v>2.62</v>
      </c>
      <c r="E8">
        <v>1.33</v>
      </c>
      <c r="F8">
        <v>2.62</v>
      </c>
      <c r="G8">
        <v>2.6</v>
      </c>
      <c r="H8">
        <v>2.62</v>
      </c>
      <c r="I8">
        <v>2.62</v>
      </c>
      <c r="J8">
        <v>1.33</v>
      </c>
      <c r="K8">
        <v>2.62</v>
      </c>
      <c r="L8">
        <v>2.62</v>
      </c>
      <c r="M8">
        <v>1.33</v>
      </c>
      <c r="N8">
        <v>2.58</v>
      </c>
    </row>
    <row r="9" spans="1:14" x14ac:dyDescent="0.25">
      <c r="A9" s="1" t="s">
        <v>34</v>
      </c>
      <c r="B9" t="s">
        <v>35</v>
      </c>
      <c r="C9" t="s">
        <v>36</v>
      </c>
      <c r="D9" t="s">
        <v>37</v>
      </c>
      <c r="E9" t="s">
        <v>38</v>
      </c>
      <c r="F9" t="s">
        <v>39</v>
      </c>
      <c r="G9" t="s">
        <v>40</v>
      </c>
      <c r="H9" t="s">
        <v>41</v>
      </c>
      <c r="I9" t="s">
        <v>42</v>
      </c>
      <c r="J9" t="s">
        <v>43</v>
      </c>
      <c r="K9" t="s">
        <v>44</v>
      </c>
      <c r="L9" t="s">
        <v>45</v>
      </c>
      <c r="M9" t="s">
        <v>46</v>
      </c>
      <c r="N9" t="s">
        <v>35</v>
      </c>
    </row>
    <row r="10" spans="1:14" x14ac:dyDescent="0.25">
      <c r="A10" s="1" t="s">
        <v>47</v>
      </c>
      <c r="B10">
        <v>0.02</v>
      </c>
      <c r="C10">
        <v>1.9599999999999999E-2</v>
      </c>
      <c r="D10">
        <v>3.9100000000000003E-2</v>
      </c>
      <c r="E10">
        <v>0.98</v>
      </c>
      <c r="F10">
        <v>3.9E-2</v>
      </c>
      <c r="G10">
        <v>1.956232700674124E-2</v>
      </c>
      <c r="H10">
        <v>2.1000000000000001E-2</v>
      </c>
      <c r="I10">
        <v>3.9100000000000003E-2</v>
      </c>
      <c r="J10">
        <v>2.1000000000000001E-2</v>
      </c>
      <c r="K10">
        <v>3.9E-2</v>
      </c>
      <c r="L10">
        <v>3.9E-2</v>
      </c>
      <c r="M10">
        <v>3.9E-2</v>
      </c>
      <c r="N10">
        <v>0.02</v>
      </c>
    </row>
    <row r="11" spans="1:14" x14ac:dyDescent="0.25">
      <c r="A11" s="1" t="s">
        <v>48</v>
      </c>
      <c r="B11" t="s">
        <v>22</v>
      </c>
      <c r="C11" t="s">
        <v>22</v>
      </c>
      <c r="D11" t="s">
        <v>22</v>
      </c>
      <c r="E11" t="s">
        <v>22</v>
      </c>
      <c r="F11" t="s">
        <v>22</v>
      </c>
      <c r="G11" t="s">
        <v>22</v>
      </c>
      <c r="H11" t="s">
        <v>22</v>
      </c>
      <c r="I11" t="s">
        <v>22</v>
      </c>
      <c r="J11" t="s">
        <v>22</v>
      </c>
      <c r="K11" t="s">
        <v>22</v>
      </c>
      <c r="L11" t="s">
        <v>22</v>
      </c>
      <c r="M11" t="s">
        <v>22</v>
      </c>
      <c r="N11" t="s">
        <v>22</v>
      </c>
    </row>
    <row r="12" spans="1:14" x14ac:dyDescent="0.25">
      <c r="A12" s="1" t="s">
        <v>49</v>
      </c>
      <c r="B12" t="s">
        <v>50</v>
      </c>
      <c r="C12" t="s">
        <v>51</v>
      </c>
      <c r="D12" t="s">
        <v>52</v>
      </c>
      <c r="E12" t="s">
        <v>53</v>
      </c>
      <c r="F12" t="s">
        <v>52</v>
      </c>
      <c r="G12" t="s">
        <v>52</v>
      </c>
      <c r="H12" t="s">
        <v>54</v>
      </c>
      <c r="I12" t="s">
        <v>52</v>
      </c>
      <c r="J12" t="s">
        <v>53</v>
      </c>
      <c r="K12" t="s">
        <v>55</v>
      </c>
      <c r="L12" t="s">
        <v>55</v>
      </c>
      <c r="M12" t="s">
        <v>56</v>
      </c>
      <c r="N12" t="s">
        <v>50</v>
      </c>
    </row>
    <row r="13" spans="1:14" x14ac:dyDescent="0.25">
      <c r="A13" s="1" t="s">
        <v>57</v>
      </c>
      <c r="B13">
        <v>0.15</v>
      </c>
      <c r="C13">
        <v>0.1575</v>
      </c>
      <c r="D13">
        <v>0.16</v>
      </c>
      <c r="E13">
        <v>0.6</v>
      </c>
      <c r="F13">
        <v>0.16</v>
      </c>
      <c r="G13">
        <v>0.1575</v>
      </c>
      <c r="H13">
        <v>0.16</v>
      </c>
      <c r="I13">
        <v>-0.1575</v>
      </c>
      <c r="J13">
        <v>0.6</v>
      </c>
      <c r="K13">
        <v>0.1575</v>
      </c>
      <c r="L13">
        <v>0.1575</v>
      </c>
      <c r="M13">
        <v>0.6</v>
      </c>
      <c r="N13">
        <v>0.15</v>
      </c>
    </row>
    <row r="14" spans="1:14" x14ac:dyDescent="0.25">
      <c r="A14" s="1" t="s">
        <v>58</v>
      </c>
      <c r="B14" t="s">
        <v>59</v>
      </c>
      <c r="C14" t="s">
        <v>59</v>
      </c>
      <c r="D14" t="s">
        <v>59</v>
      </c>
      <c r="E14" t="s">
        <v>60</v>
      </c>
      <c r="F14" t="s">
        <v>59</v>
      </c>
      <c r="G14" t="s">
        <v>59</v>
      </c>
      <c r="H14" t="s">
        <v>59</v>
      </c>
      <c r="I14" t="s">
        <v>59</v>
      </c>
      <c r="J14" t="s">
        <v>61</v>
      </c>
      <c r="K14" t="s">
        <v>59</v>
      </c>
      <c r="L14" t="s">
        <v>59</v>
      </c>
      <c r="M14" t="s">
        <v>62</v>
      </c>
      <c r="N14" t="s">
        <v>59</v>
      </c>
    </row>
    <row r="15" spans="1:14" x14ac:dyDescent="0.25">
      <c r="A15" s="1" t="s">
        <v>63</v>
      </c>
      <c r="B15" t="s">
        <v>64</v>
      </c>
      <c r="C15" t="s">
        <v>65</v>
      </c>
      <c r="D15" t="s">
        <v>66</v>
      </c>
      <c r="E15" t="s">
        <v>67</v>
      </c>
      <c r="F15" t="s">
        <v>68</v>
      </c>
      <c r="G15" t="s">
        <v>69</v>
      </c>
      <c r="H15" t="s">
        <v>70</v>
      </c>
      <c r="I15" t="s">
        <v>71</v>
      </c>
      <c r="J15" t="s">
        <v>72</v>
      </c>
      <c r="K15" t="s">
        <v>73</v>
      </c>
      <c r="L15" t="s">
        <v>74</v>
      </c>
      <c r="M15" t="s">
        <v>75</v>
      </c>
      <c r="N15" t="s">
        <v>64</v>
      </c>
    </row>
    <row r="16" spans="1:14" x14ac:dyDescent="0.25">
      <c r="A16" s="1" t="s">
        <v>76</v>
      </c>
      <c r="B16" t="s">
        <v>77</v>
      </c>
      <c r="C16" t="s">
        <v>78</v>
      </c>
      <c r="D16" t="s">
        <v>77</v>
      </c>
      <c r="E16" t="s">
        <v>77</v>
      </c>
      <c r="F16" t="s">
        <v>77</v>
      </c>
      <c r="G16" t="s">
        <v>77</v>
      </c>
      <c r="H16" t="s">
        <v>77</v>
      </c>
      <c r="I16" t="s">
        <v>77</v>
      </c>
      <c r="J16" t="s">
        <v>79</v>
      </c>
      <c r="K16" t="s">
        <v>80</v>
      </c>
      <c r="L16" t="s">
        <v>80</v>
      </c>
      <c r="M16" t="s">
        <v>77</v>
      </c>
      <c r="N16" t="s">
        <v>77</v>
      </c>
    </row>
    <row r="17" spans="1:14" x14ac:dyDescent="0.25">
      <c r="A17" s="1" t="s">
        <v>81</v>
      </c>
      <c r="B17">
        <v>3</v>
      </c>
      <c r="C17">
        <v>2</v>
      </c>
      <c r="D17">
        <v>2</v>
      </c>
      <c r="E17">
        <v>2</v>
      </c>
      <c r="F17">
        <v>2</v>
      </c>
      <c r="G17">
        <v>3</v>
      </c>
      <c r="H17">
        <v>3</v>
      </c>
      <c r="I17">
        <v>2</v>
      </c>
      <c r="J17">
        <v>3</v>
      </c>
      <c r="K17">
        <v>1</v>
      </c>
      <c r="L17">
        <v>1</v>
      </c>
      <c r="M17">
        <v>3</v>
      </c>
      <c r="N17">
        <v>3</v>
      </c>
    </row>
    <row r="18" spans="1:14" x14ac:dyDescent="0.25">
      <c r="A18" s="1" t="s">
        <v>82</v>
      </c>
      <c r="B18">
        <v>1</v>
      </c>
      <c r="C18">
        <v>1</v>
      </c>
      <c r="D18">
        <v>1</v>
      </c>
      <c r="E18">
        <v>1</v>
      </c>
      <c r="F18">
        <v>1</v>
      </c>
      <c r="G18">
        <v>1</v>
      </c>
      <c r="H18">
        <v>1</v>
      </c>
      <c r="I18">
        <v>1</v>
      </c>
      <c r="J18">
        <v>1</v>
      </c>
      <c r="K18">
        <v>1</v>
      </c>
      <c r="L18">
        <v>1</v>
      </c>
      <c r="M18">
        <v>1</v>
      </c>
      <c r="N18">
        <v>1</v>
      </c>
    </row>
    <row r="19" spans="1:14" x14ac:dyDescent="0.25">
      <c r="A19" s="1" t="s">
        <v>83</v>
      </c>
      <c r="B19">
        <v>1</v>
      </c>
      <c r="C19">
        <v>2</v>
      </c>
      <c r="D19">
        <v>1</v>
      </c>
      <c r="E19">
        <v>1</v>
      </c>
      <c r="F19">
        <v>2</v>
      </c>
      <c r="G19">
        <v>1</v>
      </c>
      <c r="H19">
        <v>1</v>
      </c>
      <c r="I19">
        <v>0</v>
      </c>
      <c r="J19">
        <v>1</v>
      </c>
      <c r="K19">
        <v>1</v>
      </c>
      <c r="L19">
        <v>1</v>
      </c>
      <c r="M19">
        <v>3</v>
      </c>
      <c r="N19">
        <v>1</v>
      </c>
    </row>
    <row r="20" spans="1:14" x14ac:dyDescent="0.25">
      <c r="A20" s="1" t="s">
        <v>84</v>
      </c>
      <c r="B20">
        <v>-0.51259999999999994</v>
      </c>
      <c r="C20">
        <v>-0.99180000000000001</v>
      </c>
      <c r="D20">
        <v>-3.15E-2</v>
      </c>
      <c r="E20">
        <v>-3.15E-2</v>
      </c>
      <c r="F20">
        <v>-0.99199999999999999</v>
      </c>
      <c r="G20">
        <v>-0.51256100000000004</v>
      </c>
      <c r="H20">
        <v>-0.51300000000000001</v>
      </c>
      <c r="I20">
        <v>-0.51</v>
      </c>
      <c r="J20">
        <v>-0.51259999999999994</v>
      </c>
      <c r="K20">
        <v>-2E-3</v>
      </c>
      <c r="L20">
        <v>-2E-3</v>
      </c>
      <c r="M20">
        <v>-0.94199999999999995</v>
      </c>
      <c r="N20">
        <v>-0.51259999999999994</v>
      </c>
    </row>
    <row r="21" spans="1:14" x14ac:dyDescent="0.25">
      <c r="A21" s="1" t="s">
        <v>85</v>
      </c>
      <c r="B21">
        <v>-4.3299999999999998E-2</v>
      </c>
      <c r="C21">
        <v>0.45590000000000003</v>
      </c>
      <c r="D21">
        <v>-0.52929999999999999</v>
      </c>
      <c r="E21">
        <v>-0.52929999999999999</v>
      </c>
      <c r="F21">
        <v>0.45600000000000002</v>
      </c>
      <c r="G21">
        <v>-4.3346999999999997E-2</v>
      </c>
      <c r="H21">
        <v>4.2999999999999997E-2</v>
      </c>
      <c r="I21">
        <v>0</v>
      </c>
      <c r="J21">
        <v>-4.3299999999999998E-2</v>
      </c>
      <c r="K21">
        <v>-0.55920000000000003</v>
      </c>
      <c r="L21">
        <v>-0.55900000000000005</v>
      </c>
      <c r="M21">
        <v>0.41499999999999998</v>
      </c>
      <c r="N21">
        <v>-4.3299999999999998E-2</v>
      </c>
    </row>
    <row r="22" spans="1:14" x14ac:dyDescent="0.25">
      <c r="A22" s="1" t="s">
        <v>86</v>
      </c>
      <c r="B22">
        <v>2047.5719999999999</v>
      </c>
      <c r="C22">
        <v>2046.4549999999999</v>
      </c>
      <c r="D22">
        <v>2046.9976999999999</v>
      </c>
      <c r="E22">
        <v>2046.998</v>
      </c>
      <c r="F22">
        <v>2046.4549999999999</v>
      </c>
      <c r="G22">
        <v>2047.571522</v>
      </c>
      <c r="H22">
        <v>2047.5719999999999</v>
      </c>
      <c r="I22">
        <v>2050.2730000000001</v>
      </c>
      <c r="J22">
        <v>2047.5719999999999</v>
      </c>
      <c r="K22">
        <v>2045.0530000000001</v>
      </c>
      <c r="L22">
        <v>2045.0530000000001</v>
      </c>
      <c r="M22">
        <v>1406.097</v>
      </c>
      <c r="N22">
        <v>2047.5719999999999</v>
      </c>
    </row>
    <row r="23" spans="1:14" x14ac:dyDescent="0.25">
      <c r="A23" s="1" t="s">
        <v>87</v>
      </c>
      <c r="B23">
        <v>2072.6810169999999</v>
      </c>
      <c r="C23">
        <v>2077.8510000000001</v>
      </c>
      <c r="D23">
        <v>2069.9252000000001</v>
      </c>
      <c r="E23">
        <v>2069.925221</v>
      </c>
      <c r="F23">
        <v>2077.8510000000001</v>
      </c>
      <c r="G23">
        <v>2072.681016</v>
      </c>
      <c r="H23">
        <v>2072.681</v>
      </c>
      <c r="I23">
        <v>2079.3829999999998</v>
      </c>
      <c r="J23">
        <v>2072.6810169999999</v>
      </c>
      <c r="K23">
        <v>2069.346</v>
      </c>
      <c r="L23">
        <v>2069.346</v>
      </c>
      <c r="M23">
        <v>2075.5369999999998</v>
      </c>
      <c r="N23">
        <v>2072.6810169999999</v>
      </c>
    </row>
    <row r="24" spans="1:14" x14ac:dyDescent="0.25">
      <c r="A24" s="1" t="s">
        <v>88</v>
      </c>
      <c r="B24">
        <v>109.07</v>
      </c>
      <c r="C24">
        <v>103.123</v>
      </c>
      <c r="D24">
        <v>109.16889999999999</v>
      </c>
      <c r="E24">
        <v>0</v>
      </c>
      <c r="F24">
        <v>103.123</v>
      </c>
      <c r="G24">
        <v>109.074279</v>
      </c>
      <c r="H24">
        <v>109.074</v>
      </c>
      <c r="I24">
        <v>104.605</v>
      </c>
      <c r="J24">
        <v>110.565</v>
      </c>
      <c r="K24">
        <v>109.432</v>
      </c>
      <c r="L24">
        <v>109.432</v>
      </c>
      <c r="M24">
        <v>110.565</v>
      </c>
      <c r="N24">
        <v>109.07</v>
      </c>
    </row>
    <row r="25" spans="1:14" x14ac:dyDescent="0.25">
      <c r="A25" s="1" t="s">
        <v>89</v>
      </c>
      <c r="B25" t="s">
        <v>90</v>
      </c>
      <c r="C25" t="s">
        <v>91</v>
      </c>
      <c r="D25" t="s">
        <v>92</v>
      </c>
      <c r="E25" t="s">
        <v>93</v>
      </c>
      <c r="F25" t="s">
        <v>94</v>
      </c>
      <c r="G25" t="s">
        <v>90</v>
      </c>
      <c r="H25" t="s">
        <v>90</v>
      </c>
      <c r="I25" t="s">
        <v>95</v>
      </c>
      <c r="J25" t="s">
        <v>96</v>
      </c>
      <c r="K25" t="s">
        <v>97</v>
      </c>
      <c r="L25" t="s">
        <v>97</v>
      </c>
      <c r="M25" t="s">
        <v>95</v>
      </c>
      <c r="N25" t="s">
        <v>90</v>
      </c>
    </row>
    <row r="26" spans="1:14" x14ac:dyDescent="0.25">
      <c r="A26" s="1" t="s">
        <v>98</v>
      </c>
      <c r="B26">
        <v>2045.575</v>
      </c>
      <c r="C26">
        <v>2046.998</v>
      </c>
      <c r="D26">
        <v>2045.0528999999999</v>
      </c>
      <c r="E26">
        <v>2050.2730000000001</v>
      </c>
      <c r="F26">
        <v>2046.663</v>
      </c>
      <c r="G26">
        <v>2045.5748590000001</v>
      </c>
      <c r="H26">
        <v>2045.575</v>
      </c>
      <c r="I26">
        <v>2046.663</v>
      </c>
      <c r="J26">
        <v>2110.8240000000001</v>
      </c>
      <c r="K26">
        <v>2043.0530000000001</v>
      </c>
      <c r="L26">
        <v>2043.4449999999999</v>
      </c>
      <c r="M26">
        <v>2063.395</v>
      </c>
      <c r="N26">
        <v>2045.575</v>
      </c>
    </row>
    <row r="27" spans="1:14" x14ac:dyDescent="0.25">
      <c r="A27" s="1" t="s">
        <v>99</v>
      </c>
      <c r="B27">
        <v>2072.7491519999999</v>
      </c>
      <c r="C27">
        <v>2069.9250000000002</v>
      </c>
      <c r="D27">
        <v>2069.3463999999999</v>
      </c>
      <c r="E27">
        <v>2079.3825029999998</v>
      </c>
      <c r="F27">
        <v>2066.2130000000002</v>
      </c>
      <c r="G27">
        <v>2072.7491519999999</v>
      </c>
      <c r="H27">
        <v>2072.7489999999998</v>
      </c>
      <c r="I27">
        <v>2066.2130000000002</v>
      </c>
      <c r="J27">
        <v>2075.2984590000001</v>
      </c>
      <c r="K27">
        <v>2069.306</v>
      </c>
      <c r="L27">
        <v>2069.306</v>
      </c>
      <c r="M27">
        <v>2068.2800000000002</v>
      </c>
      <c r="N27">
        <v>2072.7491519999999</v>
      </c>
    </row>
    <row r="28" spans="1:14" x14ac:dyDescent="0.25">
      <c r="A28" s="1" t="s">
        <v>100</v>
      </c>
      <c r="B28">
        <v>109.09</v>
      </c>
      <c r="C28">
        <v>109.169</v>
      </c>
      <c r="D28">
        <v>109.43170000000001</v>
      </c>
      <c r="E28">
        <v>0</v>
      </c>
      <c r="F28">
        <v>112.41200000000001</v>
      </c>
      <c r="G28">
        <v>109.090431</v>
      </c>
      <c r="H28">
        <v>120.32</v>
      </c>
      <c r="I28">
        <v>112.41200000000001</v>
      </c>
      <c r="J28">
        <v>100.565</v>
      </c>
      <c r="K28">
        <v>109.44499999999999</v>
      </c>
      <c r="L28">
        <v>109.44499999999999</v>
      </c>
      <c r="M28">
        <v>100.565</v>
      </c>
      <c r="N28">
        <v>109.09</v>
      </c>
    </row>
    <row r="29" spans="1:14" x14ac:dyDescent="0.25">
      <c r="A29" s="1" t="s">
        <v>101</v>
      </c>
      <c r="B29" t="s">
        <v>102</v>
      </c>
      <c r="C29" t="s">
        <v>103</v>
      </c>
      <c r="D29" t="s">
        <v>104</v>
      </c>
      <c r="E29" t="s">
        <v>105</v>
      </c>
      <c r="F29" t="s">
        <v>106</v>
      </c>
      <c r="G29" t="s">
        <v>107</v>
      </c>
      <c r="H29" t="s">
        <v>108</v>
      </c>
      <c r="I29" t="s">
        <v>109</v>
      </c>
      <c r="J29" t="s">
        <v>110</v>
      </c>
      <c r="K29" t="s">
        <v>111</v>
      </c>
      <c r="L29" t="s">
        <v>112</v>
      </c>
      <c r="M29" t="s">
        <v>113</v>
      </c>
      <c r="N29" t="s">
        <v>102</v>
      </c>
    </row>
    <row r="30" spans="1:14" x14ac:dyDescent="0.25">
      <c r="A30" s="1" t="s">
        <v>114</v>
      </c>
      <c r="B30" t="s">
        <v>79</v>
      </c>
      <c r="C30" t="s">
        <v>78</v>
      </c>
      <c r="D30" t="s">
        <v>80</v>
      </c>
      <c r="E30" t="s">
        <v>77</v>
      </c>
      <c r="F30" t="s">
        <v>115</v>
      </c>
      <c r="G30" t="s">
        <v>116</v>
      </c>
      <c r="H30" t="s">
        <v>77</v>
      </c>
      <c r="I30" t="s">
        <v>117</v>
      </c>
      <c r="J30" t="s">
        <v>79</v>
      </c>
      <c r="K30" t="s">
        <v>77</v>
      </c>
      <c r="L30" t="s">
        <v>78</v>
      </c>
      <c r="M30" t="s">
        <v>77</v>
      </c>
      <c r="N30" t="s">
        <v>79</v>
      </c>
    </row>
    <row r="31" spans="1:14" x14ac:dyDescent="0.25">
      <c r="A31" s="1" t="s">
        <v>118</v>
      </c>
      <c r="B31" t="s">
        <v>22</v>
      </c>
      <c r="C31" t="s">
        <v>119</v>
      </c>
      <c r="D31" t="s">
        <v>120</v>
      </c>
      <c r="E31" t="s">
        <v>119</v>
      </c>
      <c r="F31" t="s">
        <v>119</v>
      </c>
      <c r="G31" t="s">
        <v>119</v>
      </c>
      <c r="H31" t="s">
        <v>121</v>
      </c>
      <c r="I31" t="s">
        <v>119</v>
      </c>
      <c r="J31" t="s">
        <v>119</v>
      </c>
      <c r="K31" t="s">
        <v>119</v>
      </c>
      <c r="L31" t="s">
        <v>119</v>
      </c>
      <c r="M31" t="s">
        <v>122</v>
      </c>
      <c r="N31" t="s">
        <v>22</v>
      </c>
    </row>
    <row r="32" spans="1:14" x14ac:dyDescent="0.25">
      <c r="A32" s="1" t="s">
        <v>123</v>
      </c>
      <c r="B32" t="s">
        <v>24</v>
      </c>
      <c r="C32" t="s">
        <v>122</v>
      </c>
      <c r="D32" t="s">
        <v>120</v>
      </c>
      <c r="E32" t="s">
        <v>122</v>
      </c>
      <c r="F32" t="s">
        <v>122</v>
      </c>
      <c r="G32" t="s">
        <v>122</v>
      </c>
      <c r="H32" t="s">
        <v>121</v>
      </c>
      <c r="I32" t="s">
        <v>122</v>
      </c>
      <c r="J32" t="s">
        <v>122</v>
      </c>
      <c r="K32" t="s">
        <v>122</v>
      </c>
      <c r="L32" t="s">
        <v>122</v>
      </c>
      <c r="M32" t="s">
        <v>119</v>
      </c>
      <c r="N32" t="s">
        <v>24</v>
      </c>
    </row>
    <row r="33" spans="1:14" x14ac:dyDescent="0.25">
      <c r="A33" s="1" t="s">
        <v>124</v>
      </c>
      <c r="B33" t="s">
        <v>22</v>
      </c>
      <c r="C33" t="s">
        <v>119</v>
      </c>
      <c r="D33" t="s">
        <v>120</v>
      </c>
      <c r="E33" t="s">
        <v>119</v>
      </c>
      <c r="F33" t="s">
        <v>119</v>
      </c>
      <c r="G33" t="s">
        <v>119</v>
      </c>
      <c r="H33" t="s">
        <v>121</v>
      </c>
      <c r="I33" t="s">
        <v>119</v>
      </c>
      <c r="J33" t="s">
        <v>119</v>
      </c>
      <c r="K33" t="s">
        <v>119</v>
      </c>
      <c r="L33" t="s">
        <v>119</v>
      </c>
      <c r="M33" t="s">
        <v>119</v>
      </c>
      <c r="N33" t="s">
        <v>22</v>
      </c>
    </row>
    <row r="34" spans="1:14" x14ac:dyDescent="0.25">
      <c r="A34" s="1" t="s">
        <v>125</v>
      </c>
      <c r="C34" t="s">
        <v>122</v>
      </c>
    </row>
    <row r="35" spans="1:14" x14ac:dyDescent="0.25">
      <c r="A35" s="1" t="s">
        <v>126</v>
      </c>
      <c r="F35" t="s">
        <v>122</v>
      </c>
    </row>
    <row r="36" spans="1:14" x14ac:dyDescent="0.25">
      <c r="A36" s="1" t="s">
        <v>127</v>
      </c>
      <c r="I36" t="s">
        <v>122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B9FA-9301-4212-B5B2-4F8DFD0F7D78}">
  <dimension ref="A1:AB38"/>
  <sheetViews>
    <sheetView workbookViewId="0">
      <selection activeCell="D5" sqref="D1:D5"/>
    </sheetView>
  </sheetViews>
  <sheetFormatPr defaultRowHeight="15" x14ac:dyDescent="0.25"/>
  <cols>
    <col min="1" max="1" width="79.7109375" bestFit="1" customWidth="1"/>
  </cols>
  <sheetData>
    <row r="1" spans="1:28" x14ac:dyDescent="0.25">
      <c r="B1" s="1" t="s">
        <v>128</v>
      </c>
      <c r="C1" s="1" t="s">
        <v>129</v>
      </c>
      <c r="D1" s="1" t="s">
        <v>130</v>
      </c>
      <c r="E1" s="1" t="s">
        <v>131</v>
      </c>
      <c r="F1" s="1" t="s">
        <v>132</v>
      </c>
      <c r="G1" s="1" t="s">
        <v>133</v>
      </c>
      <c r="H1" s="1" t="s">
        <v>134</v>
      </c>
      <c r="I1" s="1" t="s">
        <v>135</v>
      </c>
      <c r="J1" s="1" t="s">
        <v>136</v>
      </c>
      <c r="K1" s="1" t="s">
        <v>137</v>
      </c>
      <c r="L1" s="1" t="s">
        <v>138</v>
      </c>
      <c r="M1" s="1" t="s">
        <v>139</v>
      </c>
      <c r="N1" s="1" t="s">
        <v>140</v>
      </c>
      <c r="O1" s="1" t="s">
        <v>141</v>
      </c>
      <c r="P1" s="1" t="s">
        <v>142</v>
      </c>
      <c r="Q1" s="1" t="s">
        <v>143</v>
      </c>
      <c r="R1" s="1" t="s">
        <v>144</v>
      </c>
      <c r="S1" s="1" t="s">
        <v>145</v>
      </c>
      <c r="T1" s="1" t="s">
        <v>146</v>
      </c>
      <c r="U1" s="1" t="s">
        <v>147</v>
      </c>
      <c r="V1" s="1" t="s">
        <v>148</v>
      </c>
      <c r="W1" s="1" t="s">
        <v>149</v>
      </c>
      <c r="X1" s="1" t="s">
        <v>150</v>
      </c>
      <c r="Y1" s="1" t="s">
        <v>151</v>
      </c>
      <c r="Z1" s="1" t="s">
        <v>152</v>
      </c>
      <c r="AA1" s="1" t="s">
        <v>153</v>
      </c>
      <c r="AB1" s="1" t="s">
        <v>128</v>
      </c>
    </row>
    <row r="2" spans="1:28" x14ac:dyDescent="0.25">
      <c r="A2" s="1" t="s">
        <v>12</v>
      </c>
      <c r="B2" t="s">
        <v>13</v>
      </c>
      <c r="C2" t="s">
        <v>15</v>
      </c>
      <c r="D2" t="s">
        <v>154</v>
      </c>
      <c r="E2" t="s">
        <v>155</v>
      </c>
      <c r="F2" t="s">
        <v>156</v>
      </c>
      <c r="G2" t="s">
        <v>15</v>
      </c>
      <c r="H2" t="s">
        <v>157</v>
      </c>
      <c r="I2" t="s">
        <v>156</v>
      </c>
      <c r="J2" t="s">
        <v>156</v>
      </c>
      <c r="K2" t="s">
        <v>158</v>
      </c>
      <c r="L2" t="s">
        <v>159</v>
      </c>
      <c r="M2" t="s">
        <v>160</v>
      </c>
      <c r="N2" t="s">
        <v>161</v>
      </c>
      <c r="O2" t="s">
        <v>162</v>
      </c>
      <c r="P2" t="s">
        <v>16</v>
      </c>
      <c r="Q2" t="s">
        <v>163</v>
      </c>
      <c r="R2" t="s">
        <v>17</v>
      </c>
      <c r="S2" t="s">
        <v>164</v>
      </c>
      <c r="T2" t="s">
        <v>16</v>
      </c>
      <c r="U2" t="s">
        <v>165</v>
      </c>
      <c r="V2" t="s">
        <v>17</v>
      </c>
      <c r="W2" t="s">
        <v>154</v>
      </c>
      <c r="X2" t="s">
        <v>17</v>
      </c>
      <c r="Y2" t="s">
        <v>156</v>
      </c>
      <c r="Z2" t="s">
        <v>154</v>
      </c>
      <c r="AB2" t="s">
        <v>13</v>
      </c>
    </row>
    <row r="3" spans="1:28" x14ac:dyDescent="0.25">
      <c r="A3" s="1" t="s">
        <v>20</v>
      </c>
      <c r="B3">
        <v>0</v>
      </c>
      <c r="C3">
        <v>0</v>
      </c>
      <c r="D3">
        <v>4.5492517112987927E-23</v>
      </c>
      <c r="E3">
        <v>0</v>
      </c>
      <c r="F3">
        <v>1.9727E-9</v>
      </c>
      <c r="G3">
        <v>1.9730000000000001E-9</v>
      </c>
      <c r="H3">
        <v>0</v>
      </c>
      <c r="I3">
        <v>1.9727E-9</v>
      </c>
      <c r="J3">
        <v>0</v>
      </c>
      <c r="K3">
        <v>1.9726499999999998E-9</v>
      </c>
      <c r="L3">
        <v>0</v>
      </c>
      <c r="M3">
        <v>0</v>
      </c>
      <c r="N3">
        <v>0</v>
      </c>
      <c r="O3">
        <v>1.9730000000000001E-9</v>
      </c>
      <c r="P3">
        <v>1.9727E-9</v>
      </c>
      <c r="Q3">
        <v>1.97265</v>
      </c>
      <c r="R3">
        <v>0</v>
      </c>
      <c r="S3">
        <v>1.9726543846517108E-9</v>
      </c>
      <c r="T3">
        <v>0</v>
      </c>
      <c r="U3">
        <v>1.9719999999999998E-9</v>
      </c>
      <c r="V3">
        <v>0</v>
      </c>
      <c r="W3">
        <v>1.9727E-9</v>
      </c>
      <c r="X3">
        <v>1.9726543846499998E-9</v>
      </c>
      <c r="Y3">
        <v>1.9726543846517108E-9</v>
      </c>
      <c r="Z3">
        <v>1.9726E-9</v>
      </c>
      <c r="AB3">
        <v>0</v>
      </c>
    </row>
    <row r="4" spans="1:28" x14ac:dyDescent="0.25">
      <c r="A4" s="1" t="s">
        <v>166</v>
      </c>
      <c r="B4" t="s">
        <v>22</v>
      </c>
      <c r="C4" t="s">
        <v>22</v>
      </c>
      <c r="E4" t="s">
        <v>22</v>
      </c>
      <c r="F4" t="s">
        <v>22</v>
      </c>
      <c r="G4" t="s">
        <v>22</v>
      </c>
      <c r="H4" t="s">
        <v>22</v>
      </c>
      <c r="I4" t="s">
        <v>22</v>
      </c>
      <c r="J4" t="s">
        <v>22</v>
      </c>
      <c r="K4" t="s">
        <v>22</v>
      </c>
      <c r="L4" t="s">
        <v>22</v>
      </c>
      <c r="M4" t="s">
        <v>22</v>
      </c>
      <c r="N4" t="s">
        <v>22</v>
      </c>
      <c r="O4" t="s">
        <v>22</v>
      </c>
      <c r="P4" t="s">
        <v>22</v>
      </c>
      <c r="Q4" t="s">
        <v>22</v>
      </c>
      <c r="R4" t="s">
        <v>22</v>
      </c>
      <c r="S4" t="s">
        <v>22</v>
      </c>
      <c r="T4" t="s">
        <v>22</v>
      </c>
      <c r="V4" t="s">
        <v>22</v>
      </c>
      <c r="W4" t="s">
        <v>22</v>
      </c>
      <c r="X4" t="s">
        <v>22</v>
      </c>
      <c r="Y4" t="s">
        <v>22</v>
      </c>
      <c r="Z4" t="s">
        <v>22</v>
      </c>
      <c r="AB4" t="s">
        <v>22</v>
      </c>
    </row>
    <row r="5" spans="1:28" x14ac:dyDescent="0.25">
      <c r="A5" s="1" t="s">
        <v>167</v>
      </c>
      <c r="B5">
        <v>0.505</v>
      </c>
      <c r="C5">
        <v>0.51</v>
      </c>
      <c r="E5">
        <v>0.50560000000000005</v>
      </c>
      <c r="F5">
        <v>0.50560000000000005</v>
      </c>
      <c r="G5">
        <v>0.50600000000000001</v>
      </c>
      <c r="H5">
        <v>0.50600000000000001</v>
      </c>
      <c r="I5">
        <v>0.50560000000000005</v>
      </c>
      <c r="J5">
        <v>0.51</v>
      </c>
      <c r="K5">
        <v>0.50560000000000005</v>
      </c>
      <c r="L5">
        <v>0.50560000000000005</v>
      </c>
      <c r="M5">
        <v>0.51</v>
      </c>
      <c r="N5">
        <v>0.51</v>
      </c>
      <c r="O5">
        <v>0.50560000000000005</v>
      </c>
      <c r="P5">
        <v>0.50560000000000005</v>
      </c>
      <c r="Q5">
        <v>0.50570000000000004</v>
      </c>
      <c r="R5">
        <v>0.5</v>
      </c>
      <c r="S5">
        <v>0.50564971751412424</v>
      </c>
      <c r="T5">
        <v>0.50560000000000005</v>
      </c>
      <c r="U5">
        <v>0.51</v>
      </c>
      <c r="V5">
        <v>0.51</v>
      </c>
      <c r="W5">
        <v>0.50560000000000005</v>
      </c>
      <c r="X5">
        <v>0.50564971751412424</v>
      </c>
      <c r="Y5">
        <v>0.51</v>
      </c>
      <c r="Z5">
        <v>0.50560000000000005</v>
      </c>
      <c r="AA5">
        <v>0.50560000000000005</v>
      </c>
      <c r="AB5">
        <v>0.505</v>
      </c>
    </row>
    <row r="6" spans="1:28" x14ac:dyDescent="0.25">
      <c r="A6" s="1" t="s">
        <v>168</v>
      </c>
      <c r="B6">
        <v>0.30299999999999999</v>
      </c>
      <c r="C6">
        <v>0.3</v>
      </c>
      <c r="E6">
        <v>0.30349999999999999</v>
      </c>
      <c r="F6">
        <v>0.30349999999999999</v>
      </c>
      <c r="G6">
        <v>0.30299999999999999</v>
      </c>
      <c r="H6">
        <v>0.30399999999999999</v>
      </c>
      <c r="I6">
        <v>0.30349999999999999</v>
      </c>
      <c r="J6">
        <v>0.3</v>
      </c>
      <c r="K6">
        <v>0.30349999999999999</v>
      </c>
      <c r="L6">
        <v>0.30349999999999999</v>
      </c>
      <c r="M6">
        <v>0.3</v>
      </c>
      <c r="N6">
        <v>0.3</v>
      </c>
      <c r="O6">
        <v>0.30349999999999999</v>
      </c>
      <c r="P6">
        <v>0.30349999999999999</v>
      </c>
      <c r="Q6">
        <v>0.30349999999999999</v>
      </c>
      <c r="R6">
        <v>0.3</v>
      </c>
      <c r="S6">
        <v>0.30353817504655489</v>
      </c>
      <c r="T6">
        <v>0.30349999999999999</v>
      </c>
      <c r="U6">
        <v>0.3</v>
      </c>
      <c r="V6">
        <v>0.3</v>
      </c>
      <c r="W6">
        <v>0.30349999999999999</v>
      </c>
      <c r="X6">
        <v>0.30353817504655489</v>
      </c>
      <c r="Y6">
        <v>0.3</v>
      </c>
      <c r="Z6">
        <v>0.30349999999999999</v>
      </c>
      <c r="AA6">
        <v>0.30349999999999999</v>
      </c>
      <c r="AB6">
        <v>0.30299999999999999</v>
      </c>
    </row>
    <row r="7" spans="1:28" x14ac:dyDescent="0.25">
      <c r="A7" s="1" t="s">
        <v>33</v>
      </c>
      <c r="B7">
        <v>1.67</v>
      </c>
      <c r="C7">
        <v>1.7</v>
      </c>
      <c r="E7">
        <v>1.67</v>
      </c>
      <c r="F7">
        <v>1.67</v>
      </c>
      <c r="G7">
        <v>1.67</v>
      </c>
      <c r="H7">
        <v>1.66</v>
      </c>
      <c r="I7">
        <v>1.67</v>
      </c>
      <c r="J7">
        <v>1.7</v>
      </c>
      <c r="K7">
        <v>1.67</v>
      </c>
      <c r="L7">
        <v>1.67</v>
      </c>
      <c r="M7">
        <v>1.7</v>
      </c>
      <c r="N7">
        <v>1.7</v>
      </c>
      <c r="O7">
        <v>1.67</v>
      </c>
      <c r="P7">
        <v>1.67</v>
      </c>
      <c r="Q7">
        <v>1.67</v>
      </c>
      <c r="R7">
        <v>1.67</v>
      </c>
      <c r="S7">
        <v>1.67</v>
      </c>
      <c r="T7">
        <v>1.67</v>
      </c>
      <c r="U7">
        <v>1.7</v>
      </c>
      <c r="V7">
        <v>1.7</v>
      </c>
      <c r="W7">
        <v>1.67</v>
      </c>
      <c r="X7">
        <v>1.67</v>
      </c>
      <c r="Y7">
        <v>1.67</v>
      </c>
      <c r="Z7">
        <v>1.67</v>
      </c>
      <c r="AA7">
        <v>1.67</v>
      </c>
      <c r="AB7">
        <v>1.67</v>
      </c>
    </row>
    <row r="8" spans="1:28" x14ac:dyDescent="0.25">
      <c r="A8" s="1" t="s">
        <v>34</v>
      </c>
      <c r="B8" t="s">
        <v>35</v>
      </c>
      <c r="C8" t="s">
        <v>169</v>
      </c>
      <c r="D8" t="s">
        <v>170</v>
      </c>
      <c r="E8" t="s">
        <v>171</v>
      </c>
      <c r="F8" t="s">
        <v>172</v>
      </c>
      <c r="G8" t="s">
        <v>173</v>
      </c>
      <c r="H8" t="s">
        <v>174</v>
      </c>
      <c r="I8" t="s">
        <v>175</v>
      </c>
      <c r="J8" t="s">
        <v>176</v>
      </c>
      <c r="K8" t="s">
        <v>177</v>
      </c>
      <c r="L8" t="s">
        <v>178</v>
      </c>
      <c r="M8" t="s">
        <v>179</v>
      </c>
      <c r="N8" t="s">
        <v>180</v>
      </c>
      <c r="O8" t="s">
        <v>181</v>
      </c>
      <c r="P8" t="s">
        <v>182</v>
      </c>
      <c r="Q8" t="s">
        <v>183</v>
      </c>
      <c r="R8" t="s">
        <v>184</v>
      </c>
      <c r="S8" t="s">
        <v>185</v>
      </c>
      <c r="T8" t="s">
        <v>186</v>
      </c>
      <c r="U8" t="s">
        <v>187</v>
      </c>
      <c r="V8" t="s">
        <v>176</v>
      </c>
      <c r="W8" t="s">
        <v>188</v>
      </c>
      <c r="X8" t="s">
        <v>189</v>
      </c>
      <c r="Y8" t="s">
        <v>190</v>
      </c>
      <c r="Z8" t="s">
        <v>191</v>
      </c>
      <c r="AA8" t="s">
        <v>192</v>
      </c>
      <c r="AB8" t="s">
        <v>35</v>
      </c>
    </row>
    <row r="9" spans="1:28" x14ac:dyDescent="0.25">
      <c r="A9" s="1" t="s">
        <v>47</v>
      </c>
      <c r="B9">
        <v>0.02</v>
      </c>
      <c r="C9">
        <v>2.1000000000000001E-2</v>
      </c>
      <c r="D9">
        <v>3.9100000000000003E-2</v>
      </c>
      <c r="E9">
        <v>1.9599999999999999E-2</v>
      </c>
      <c r="F9">
        <v>3.9100000000000003E-2</v>
      </c>
      <c r="G9">
        <v>1.9599999999999999E-2</v>
      </c>
      <c r="H9">
        <v>3.9E-2</v>
      </c>
      <c r="I9">
        <v>3.9100000000000003E-2</v>
      </c>
      <c r="J9">
        <v>5.28E-2</v>
      </c>
      <c r="K9">
        <v>3.9124654013482488E-2</v>
      </c>
      <c r="L9">
        <v>0.1605</v>
      </c>
      <c r="M9">
        <v>4.1000000000000002E-2</v>
      </c>
      <c r="N9">
        <v>2.06E-2</v>
      </c>
      <c r="O9">
        <v>1.9599999999999999E-2</v>
      </c>
      <c r="P9">
        <v>1.9599999999999999E-2</v>
      </c>
      <c r="Q9">
        <v>1.9560000000000001E-2</v>
      </c>
      <c r="R9">
        <v>3.9100000000000003E-2</v>
      </c>
      <c r="S9">
        <v>1.956232700674124E-2</v>
      </c>
      <c r="T9">
        <v>1.9560000000000001E-2</v>
      </c>
      <c r="U9">
        <v>1.9599999999999999E-2</v>
      </c>
      <c r="V9">
        <v>3.9E-2</v>
      </c>
      <c r="W9">
        <v>3.9100000000000003E-2</v>
      </c>
      <c r="X9">
        <v>5.33E-2</v>
      </c>
      <c r="Y9">
        <v>1.956232700674124E-2</v>
      </c>
      <c r="Z9">
        <v>4.1200000000000001E-2</v>
      </c>
      <c r="AA9">
        <v>3.9125E-2</v>
      </c>
      <c r="AB9">
        <v>0.02</v>
      </c>
    </row>
    <row r="10" spans="1:28" x14ac:dyDescent="0.25">
      <c r="A10" s="1" t="s">
        <v>48</v>
      </c>
      <c r="B10" t="s">
        <v>22</v>
      </c>
      <c r="C10" t="s">
        <v>22</v>
      </c>
      <c r="D10" t="s">
        <v>22</v>
      </c>
      <c r="E10" t="s">
        <v>22</v>
      </c>
      <c r="F10" t="s">
        <v>22</v>
      </c>
      <c r="G10" t="s">
        <v>22</v>
      </c>
      <c r="H10" t="s">
        <v>22</v>
      </c>
      <c r="I10" t="s">
        <v>22</v>
      </c>
      <c r="J10" t="s">
        <v>24</v>
      </c>
      <c r="K10" t="s">
        <v>22</v>
      </c>
      <c r="L10" t="s">
        <v>24</v>
      </c>
      <c r="M10" t="s">
        <v>22</v>
      </c>
      <c r="N10" t="s">
        <v>22</v>
      </c>
      <c r="O10" t="s">
        <v>22</v>
      </c>
      <c r="P10" t="s">
        <v>22</v>
      </c>
      <c r="Q10" t="s">
        <v>22</v>
      </c>
      <c r="R10" t="s">
        <v>22</v>
      </c>
      <c r="S10" t="s">
        <v>22</v>
      </c>
      <c r="T10" t="s">
        <v>22</v>
      </c>
      <c r="U10" t="s">
        <v>22</v>
      </c>
      <c r="V10" t="s">
        <v>22</v>
      </c>
      <c r="W10" t="s">
        <v>22</v>
      </c>
      <c r="X10" t="s">
        <v>24</v>
      </c>
      <c r="Y10" t="s">
        <v>22</v>
      </c>
      <c r="Z10" t="s">
        <v>22</v>
      </c>
      <c r="AA10" t="s">
        <v>22</v>
      </c>
      <c r="AB10" t="s">
        <v>22</v>
      </c>
    </row>
    <row r="11" spans="1:28" x14ac:dyDescent="0.25">
      <c r="A11" s="1" t="s">
        <v>49</v>
      </c>
      <c r="B11" t="s">
        <v>50</v>
      </c>
      <c r="C11" t="s">
        <v>52</v>
      </c>
      <c r="D11" t="s">
        <v>52</v>
      </c>
      <c r="E11" t="s">
        <v>52</v>
      </c>
      <c r="F11" t="s">
        <v>55</v>
      </c>
      <c r="G11" t="s">
        <v>55</v>
      </c>
      <c r="H11" t="s">
        <v>52</v>
      </c>
      <c r="I11" t="s">
        <v>52</v>
      </c>
      <c r="J11" t="s">
        <v>52</v>
      </c>
      <c r="K11" t="s">
        <v>193</v>
      </c>
      <c r="L11" t="s">
        <v>194</v>
      </c>
      <c r="M11" t="s">
        <v>52</v>
      </c>
      <c r="N11" t="s">
        <v>195</v>
      </c>
      <c r="O11" t="s">
        <v>52</v>
      </c>
      <c r="P11" t="s">
        <v>55</v>
      </c>
      <c r="Q11" t="s">
        <v>52</v>
      </c>
      <c r="R11" t="s">
        <v>52</v>
      </c>
      <c r="S11" t="s">
        <v>52</v>
      </c>
      <c r="T11" t="s">
        <v>52</v>
      </c>
      <c r="U11" t="s">
        <v>52</v>
      </c>
      <c r="V11" t="s">
        <v>196</v>
      </c>
      <c r="W11" t="s">
        <v>197</v>
      </c>
      <c r="X11" t="s">
        <v>198</v>
      </c>
      <c r="Y11" t="s">
        <v>193</v>
      </c>
      <c r="Z11" t="s">
        <v>52</v>
      </c>
      <c r="AA11" t="s">
        <v>52</v>
      </c>
      <c r="AB11" t="s">
        <v>50</v>
      </c>
    </row>
    <row r="12" spans="1:28" x14ac:dyDescent="0.25">
      <c r="A12" s="1" t="s">
        <v>57</v>
      </c>
      <c r="B12">
        <v>0.15</v>
      </c>
      <c r="C12">
        <v>-0.16</v>
      </c>
      <c r="D12">
        <v>0.1575</v>
      </c>
      <c r="E12">
        <v>0.157</v>
      </c>
      <c r="F12">
        <v>0.1575</v>
      </c>
      <c r="G12">
        <v>0.16</v>
      </c>
      <c r="H12">
        <v>0.157</v>
      </c>
      <c r="I12">
        <v>-0.1575</v>
      </c>
      <c r="J12">
        <v>-0.1336</v>
      </c>
      <c r="K12">
        <v>0.1575</v>
      </c>
      <c r="L12">
        <v>1</v>
      </c>
      <c r="M12">
        <v>0.16</v>
      </c>
      <c r="N12">
        <v>6.8999999999999999E-3</v>
      </c>
      <c r="O12">
        <v>-0.157</v>
      </c>
      <c r="P12">
        <v>0.1575</v>
      </c>
      <c r="Q12">
        <v>-0.1575</v>
      </c>
      <c r="R12">
        <v>-0.1575</v>
      </c>
      <c r="S12">
        <v>0.15748597191363289</v>
      </c>
      <c r="T12">
        <v>0.1575</v>
      </c>
      <c r="U12">
        <v>0.157</v>
      </c>
      <c r="V12">
        <v>0.157</v>
      </c>
      <c r="W12">
        <v>0.1575</v>
      </c>
      <c r="X12">
        <v>0.98970000000000002</v>
      </c>
      <c r="Y12">
        <v>0.1575</v>
      </c>
      <c r="Z12">
        <v>0.1575</v>
      </c>
      <c r="AA12">
        <v>0.1575</v>
      </c>
      <c r="AB12">
        <v>0.15</v>
      </c>
    </row>
    <row r="13" spans="1:28" x14ac:dyDescent="0.25">
      <c r="A13" s="1" t="s">
        <v>58</v>
      </c>
      <c r="B13" t="s">
        <v>59</v>
      </c>
      <c r="C13" t="s">
        <v>59</v>
      </c>
      <c r="D13" t="s">
        <v>59</v>
      </c>
      <c r="E13" t="s">
        <v>59</v>
      </c>
      <c r="F13" t="s">
        <v>59</v>
      </c>
      <c r="G13" t="s">
        <v>59</v>
      </c>
      <c r="H13" t="s">
        <v>199</v>
      </c>
      <c r="I13" t="s">
        <v>59</v>
      </c>
      <c r="J13" t="s">
        <v>59</v>
      </c>
      <c r="K13" t="s">
        <v>59</v>
      </c>
      <c r="L13" t="s">
        <v>200</v>
      </c>
      <c r="M13" t="s">
        <v>59</v>
      </c>
      <c r="N13" t="s">
        <v>59</v>
      </c>
      <c r="O13" t="s">
        <v>59</v>
      </c>
      <c r="P13" t="s">
        <v>59</v>
      </c>
      <c r="Q13" t="s">
        <v>59</v>
      </c>
      <c r="R13" t="s">
        <v>59</v>
      </c>
      <c r="S13" t="s">
        <v>59</v>
      </c>
      <c r="T13" t="s">
        <v>59</v>
      </c>
      <c r="U13" t="s">
        <v>59</v>
      </c>
      <c r="V13" t="s">
        <v>59</v>
      </c>
      <c r="W13" t="s">
        <v>59</v>
      </c>
      <c r="X13" t="s">
        <v>59</v>
      </c>
      <c r="Y13" t="s">
        <v>59</v>
      </c>
      <c r="Z13" t="s">
        <v>59</v>
      </c>
      <c r="AA13" t="s">
        <v>59</v>
      </c>
      <c r="AB13" t="s">
        <v>59</v>
      </c>
    </row>
    <row r="14" spans="1:28" x14ac:dyDescent="0.25">
      <c r="A14" s="1" t="s">
        <v>63</v>
      </c>
      <c r="B14" t="s">
        <v>201</v>
      </c>
      <c r="C14" t="s">
        <v>202</v>
      </c>
      <c r="E14" t="s">
        <v>203</v>
      </c>
      <c r="F14" t="s">
        <v>204</v>
      </c>
      <c r="G14" t="s">
        <v>205</v>
      </c>
      <c r="H14" t="s">
        <v>206</v>
      </c>
      <c r="I14" t="s">
        <v>207</v>
      </c>
      <c r="J14" t="s">
        <v>208</v>
      </c>
      <c r="K14" t="s">
        <v>209</v>
      </c>
      <c r="L14" t="s">
        <v>210</v>
      </c>
      <c r="M14" t="s">
        <v>211</v>
      </c>
      <c r="N14" t="s">
        <v>212</v>
      </c>
      <c r="O14" t="s">
        <v>213</v>
      </c>
      <c r="P14" t="s">
        <v>214</v>
      </c>
      <c r="Q14" t="s">
        <v>215</v>
      </c>
      <c r="R14" t="s">
        <v>216</v>
      </c>
      <c r="S14" t="s">
        <v>217</v>
      </c>
      <c r="T14" t="s">
        <v>218</v>
      </c>
      <c r="U14" t="s">
        <v>219</v>
      </c>
      <c r="V14" t="s">
        <v>220</v>
      </c>
      <c r="W14" t="s">
        <v>221</v>
      </c>
      <c r="X14" t="s">
        <v>222</v>
      </c>
      <c r="Y14" t="s">
        <v>223</v>
      </c>
      <c r="Z14" t="s">
        <v>224</v>
      </c>
      <c r="AA14" t="s">
        <v>225</v>
      </c>
      <c r="AB14" t="s">
        <v>201</v>
      </c>
    </row>
    <row r="15" spans="1:28" x14ac:dyDescent="0.25">
      <c r="A15" s="1" t="s">
        <v>76</v>
      </c>
      <c r="B15" t="s">
        <v>77</v>
      </c>
      <c r="C15" t="s">
        <v>226</v>
      </c>
      <c r="E15" t="s">
        <v>77</v>
      </c>
      <c r="F15" t="s">
        <v>77</v>
      </c>
      <c r="G15" t="s">
        <v>80</v>
      </c>
      <c r="H15" t="s">
        <v>77</v>
      </c>
      <c r="I15" t="s">
        <v>80</v>
      </c>
      <c r="J15" t="s">
        <v>77</v>
      </c>
      <c r="K15" t="s">
        <v>77</v>
      </c>
      <c r="L15" t="s">
        <v>77</v>
      </c>
      <c r="M15" t="s">
        <v>77</v>
      </c>
      <c r="N15" t="s">
        <v>77</v>
      </c>
      <c r="O15" t="s">
        <v>77</v>
      </c>
      <c r="P15" t="s">
        <v>77</v>
      </c>
      <c r="Q15" t="s">
        <v>227</v>
      </c>
      <c r="R15" t="s">
        <v>77</v>
      </c>
      <c r="S15" t="s">
        <v>77</v>
      </c>
      <c r="T15" t="s">
        <v>77</v>
      </c>
      <c r="U15" t="s">
        <v>77</v>
      </c>
      <c r="V15" t="s">
        <v>77</v>
      </c>
      <c r="W15" t="s">
        <v>77</v>
      </c>
      <c r="X15" t="s">
        <v>228</v>
      </c>
      <c r="Y15" t="s">
        <v>77</v>
      </c>
      <c r="Z15" t="s">
        <v>77</v>
      </c>
      <c r="AA15" t="s">
        <v>77</v>
      </c>
      <c r="AB15" t="s">
        <v>77</v>
      </c>
    </row>
    <row r="16" spans="1:28" x14ac:dyDescent="0.25">
      <c r="A16" s="1" t="s">
        <v>81</v>
      </c>
      <c r="B16">
        <v>3</v>
      </c>
      <c r="C16">
        <v>3</v>
      </c>
      <c r="D16">
        <v>2</v>
      </c>
      <c r="E16">
        <v>3</v>
      </c>
      <c r="F16">
        <v>1</v>
      </c>
      <c r="G16">
        <v>3</v>
      </c>
      <c r="H16">
        <v>3</v>
      </c>
      <c r="I16">
        <v>1</v>
      </c>
      <c r="J16">
        <v>4</v>
      </c>
      <c r="K16">
        <v>1</v>
      </c>
      <c r="L16">
        <v>1</v>
      </c>
      <c r="M16">
        <v>2</v>
      </c>
      <c r="N16">
        <v>3</v>
      </c>
      <c r="O16">
        <v>3</v>
      </c>
      <c r="P16">
        <v>2</v>
      </c>
      <c r="Q16">
        <v>1</v>
      </c>
      <c r="R16">
        <v>2</v>
      </c>
      <c r="S16">
        <v>4</v>
      </c>
      <c r="T16">
        <v>2</v>
      </c>
      <c r="U16">
        <v>3</v>
      </c>
      <c r="V16">
        <v>3</v>
      </c>
      <c r="W16">
        <v>3</v>
      </c>
      <c r="X16">
        <v>4</v>
      </c>
      <c r="Y16">
        <v>1</v>
      </c>
      <c r="Z16">
        <v>1</v>
      </c>
      <c r="AA16">
        <v>2</v>
      </c>
      <c r="AB16">
        <v>3</v>
      </c>
    </row>
    <row r="17" spans="1:28" x14ac:dyDescent="0.25">
      <c r="A17" s="1" t="s">
        <v>82</v>
      </c>
      <c r="B17">
        <v>1</v>
      </c>
      <c r="C17">
        <v>1</v>
      </c>
      <c r="D17">
        <v>1</v>
      </c>
      <c r="E17">
        <v>1</v>
      </c>
      <c r="F17">
        <v>1</v>
      </c>
      <c r="G17">
        <v>1</v>
      </c>
      <c r="H17">
        <v>1</v>
      </c>
      <c r="I17">
        <v>1</v>
      </c>
      <c r="J17">
        <v>1</v>
      </c>
      <c r="K17">
        <v>1</v>
      </c>
      <c r="L17">
        <v>1</v>
      </c>
      <c r="M17">
        <v>1</v>
      </c>
      <c r="N17">
        <v>1</v>
      </c>
      <c r="O17">
        <v>1</v>
      </c>
      <c r="P17">
        <v>1</v>
      </c>
      <c r="Q17">
        <v>1</v>
      </c>
      <c r="R17">
        <v>1</v>
      </c>
      <c r="S17">
        <v>2</v>
      </c>
      <c r="T17">
        <v>1</v>
      </c>
      <c r="U17">
        <v>1</v>
      </c>
      <c r="V17">
        <v>1</v>
      </c>
      <c r="W17">
        <v>1</v>
      </c>
      <c r="X17">
        <v>2</v>
      </c>
      <c r="Y17">
        <v>1</v>
      </c>
      <c r="Z17">
        <v>1</v>
      </c>
      <c r="AA17">
        <v>1</v>
      </c>
      <c r="AB17">
        <v>1</v>
      </c>
    </row>
    <row r="18" spans="1:28" x14ac:dyDescent="0.25">
      <c r="A18" s="1" t="s">
        <v>83</v>
      </c>
      <c r="B18">
        <v>1</v>
      </c>
      <c r="C18">
        <v>1</v>
      </c>
      <c r="D18">
        <v>2</v>
      </c>
      <c r="E18">
        <v>1</v>
      </c>
      <c r="F18">
        <v>1</v>
      </c>
      <c r="G18">
        <v>1</v>
      </c>
      <c r="H18">
        <v>1</v>
      </c>
      <c r="I18">
        <v>1</v>
      </c>
      <c r="J18">
        <v>2</v>
      </c>
      <c r="K18">
        <v>1</v>
      </c>
      <c r="L18">
        <v>1</v>
      </c>
      <c r="M18">
        <v>2</v>
      </c>
      <c r="N18">
        <v>1</v>
      </c>
      <c r="O18">
        <v>1</v>
      </c>
      <c r="P18">
        <v>1</v>
      </c>
      <c r="Q18">
        <v>1</v>
      </c>
      <c r="R18">
        <v>2</v>
      </c>
      <c r="S18">
        <v>3</v>
      </c>
      <c r="T18">
        <v>2</v>
      </c>
      <c r="U18">
        <v>1</v>
      </c>
      <c r="V18">
        <v>1</v>
      </c>
      <c r="W18">
        <v>1</v>
      </c>
      <c r="X18">
        <v>3</v>
      </c>
      <c r="Y18">
        <v>1</v>
      </c>
      <c r="Z18">
        <v>1</v>
      </c>
      <c r="AA18">
        <v>3</v>
      </c>
      <c r="AB18">
        <v>1</v>
      </c>
    </row>
    <row r="19" spans="1:28" x14ac:dyDescent="0.25">
      <c r="A19" s="1" t="s">
        <v>84</v>
      </c>
      <c r="B19">
        <v>-0.52910000000000001</v>
      </c>
      <c r="C19">
        <v>-0.52910000000000001</v>
      </c>
      <c r="D19">
        <v>-0.99180000000000001</v>
      </c>
      <c r="E19">
        <v>-0.52910000000000001</v>
      </c>
      <c r="F19">
        <v>-4.7000000000000002E-3</v>
      </c>
      <c r="G19">
        <v>-0.52900000000000003</v>
      </c>
      <c r="H19">
        <v>-0.52900000000000003</v>
      </c>
      <c r="I19">
        <v>-4.7000000000000002E-3</v>
      </c>
      <c r="J19">
        <v>-0.65400000000000003</v>
      </c>
      <c r="K19">
        <v>-4.7000000000000002E-3</v>
      </c>
      <c r="L19">
        <v>-4.7000000000000002E-3</v>
      </c>
      <c r="M19">
        <v>-0.995</v>
      </c>
      <c r="N19">
        <v>-0.52900000000000003</v>
      </c>
      <c r="O19">
        <v>-0.52910000000000001</v>
      </c>
      <c r="P19">
        <v>-3.6299999999999999E-2</v>
      </c>
      <c r="Q19">
        <v>-4.7000000000000002E-3</v>
      </c>
      <c r="R19">
        <v>-0.995</v>
      </c>
      <c r="S19">
        <v>-0.52907599999999999</v>
      </c>
      <c r="T19">
        <v>-0.79700000000000004</v>
      </c>
      <c r="U19">
        <v>-0.52900000000000003</v>
      </c>
      <c r="V19">
        <v>-0.52900000000000003</v>
      </c>
      <c r="W19">
        <v>-0.52910000000000001</v>
      </c>
      <c r="X19">
        <v>-2.194</v>
      </c>
      <c r="Y19">
        <v>-4.7000000000000002E-3</v>
      </c>
      <c r="Z19">
        <v>-4.7000000000000002E-3</v>
      </c>
      <c r="AA19">
        <v>-0.79700000000000004</v>
      </c>
      <c r="AB19">
        <v>-0.52910000000000001</v>
      </c>
    </row>
    <row r="20" spans="1:28" x14ac:dyDescent="0.25">
      <c r="A20" s="1" t="s">
        <v>85</v>
      </c>
      <c r="B20">
        <v>-2.7099999999999999E-2</v>
      </c>
      <c r="C20">
        <v>-2.7099999999999999E-2</v>
      </c>
      <c r="D20">
        <v>0.45590000000000003</v>
      </c>
      <c r="E20">
        <v>-2.7099999999999999E-2</v>
      </c>
      <c r="F20">
        <v>-0.55689999999999995</v>
      </c>
      <c r="G20">
        <v>-2.7E-2</v>
      </c>
      <c r="H20">
        <v>-2.7099999999999999E-2</v>
      </c>
      <c r="I20">
        <v>-0.55689999999999995</v>
      </c>
      <c r="J20">
        <v>9.9000000000000005E-2</v>
      </c>
      <c r="K20">
        <v>-0.55689999999999995</v>
      </c>
      <c r="L20">
        <v>-0.55689999999999995</v>
      </c>
      <c r="M20">
        <v>0.45800000000000002</v>
      </c>
      <c r="N20">
        <v>-2.7E-2</v>
      </c>
      <c r="O20">
        <v>-2.7099999999999999E-2</v>
      </c>
      <c r="P20">
        <v>-0.52529999999999999</v>
      </c>
      <c r="Q20">
        <v>-0.55689999999999995</v>
      </c>
      <c r="R20">
        <v>0.45800000000000002</v>
      </c>
      <c r="S20">
        <v>-2.7126000000000001E-2</v>
      </c>
      <c r="T20">
        <v>0.31</v>
      </c>
      <c r="U20">
        <v>-2.7E-2</v>
      </c>
      <c r="V20">
        <v>-2.7E-2</v>
      </c>
      <c r="W20">
        <v>-2.7099999999999999E-2</v>
      </c>
      <c r="X20">
        <v>0.70399999999999996</v>
      </c>
      <c r="Y20">
        <v>-0.55689999999999995</v>
      </c>
      <c r="Z20">
        <v>-0.55689999999999995</v>
      </c>
      <c r="AA20">
        <v>0.31</v>
      </c>
      <c r="AB20">
        <v>-2.7099999999999999E-2</v>
      </c>
    </row>
    <row r="21" spans="1:28" x14ac:dyDescent="0.25">
      <c r="A21" s="1" t="s">
        <v>86</v>
      </c>
      <c r="B21">
        <v>2047.1130000000001</v>
      </c>
      <c r="C21">
        <v>2047.1130000000001</v>
      </c>
      <c r="D21">
        <v>2046.4549999999999</v>
      </c>
      <c r="E21">
        <v>2047.1130000000001</v>
      </c>
      <c r="F21">
        <v>2044.6030000000001</v>
      </c>
      <c r="G21">
        <v>2047.1130000000001</v>
      </c>
      <c r="H21">
        <v>2047.1130000000001</v>
      </c>
      <c r="I21">
        <v>2044.6030000000001</v>
      </c>
      <c r="J21">
        <v>2050.4830000000002</v>
      </c>
      <c r="K21">
        <v>2044.6030000000001</v>
      </c>
      <c r="L21">
        <v>2044.6030000000001</v>
      </c>
      <c r="M21">
        <v>2045.9760000000001</v>
      </c>
      <c r="N21">
        <v>2047.1130000000001</v>
      </c>
      <c r="O21">
        <v>2047.1130000000001</v>
      </c>
      <c r="P21">
        <v>2046.5419999999999</v>
      </c>
      <c r="Q21">
        <v>2044.6030000000001</v>
      </c>
      <c r="R21">
        <v>2045.9760000000001</v>
      </c>
      <c r="S21">
        <v>2047.1126850000001</v>
      </c>
      <c r="T21">
        <v>2040.6</v>
      </c>
      <c r="U21">
        <v>2047.1130000000001</v>
      </c>
      <c r="V21">
        <v>2047.1130000000001</v>
      </c>
      <c r="W21">
        <v>2047.1130000000001</v>
      </c>
      <c r="X21">
        <v>2039.0830000000001</v>
      </c>
      <c r="Y21">
        <v>2044.6030000000001</v>
      </c>
      <c r="Z21">
        <v>2044.6030000000001</v>
      </c>
      <c r="AA21">
        <v>2040.6</v>
      </c>
      <c r="AB21">
        <v>2047.1130000000001</v>
      </c>
    </row>
    <row r="22" spans="1:28" x14ac:dyDescent="0.25">
      <c r="A22" s="1" t="s">
        <v>87</v>
      </c>
      <c r="B22">
        <v>2073.443158</v>
      </c>
      <c r="C22">
        <v>2073.4430000000002</v>
      </c>
      <c r="D22">
        <v>2077.85</v>
      </c>
      <c r="E22">
        <v>2073.4432000000002</v>
      </c>
      <c r="F22">
        <v>2070.06</v>
      </c>
      <c r="G22">
        <v>2073.4430000000002</v>
      </c>
      <c r="H22">
        <v>2073.4430000000002</v>
      </c>
      <c r="I22">
        <v>2070.06</v>
      </c>
      <c r="J22">
        <v>2065.7739999999999</v>
      </c>
      <c r="K22">
        <v>2070.06</v>
      </c>
      <c r="L22">
        <v>2070.06</v>
      </c>
      <c r="M22">
        <v>2078.8420000000001</v>
      </c>
      <c r="N22">
        <v>2073.4430000000002</v>
      </c>
      <c r="O22">
        <v>2073.4430000000002</v>
      </c>
      <c r="P22">
        <v>2070.66</v>
      </c>
      <c r="Q22">
        <v>2070.06</v>
      </c>
      <c r="R22">
        <v>2078.8420000000001</v>
      </c>
      <c r="S22">
        <v>2073.443158</v>
      </c>
      <c r="T22">
        <v>2023.5940000000001</v>
      </c>
      <c r="U22">
        <v>2073.4430000000002</v>
      </c>
      <c r="V22">
        <v>2073.4430000000002</v>
      </c>
      <c r="W22">
        <v>2073.4430000000002</v>
      </c>
      <c r="X22">
        <v>2108.2869999999998</v>
      </c>
      <c r="Y22">
        <v>2070.06</v>
      </c>
      <c r="Z22">
        <v>2070.06</v>
      </c>
      <c r="AA22">
        <v>2023.5940000000001</v>
      </c>
      <c r="AB22">
        <v>2073.443158</v>
      </c>
    </row>
    <row r="23" spans="1:28" x14ac:dyDescent="0.25">
      <c r="A23" s="1" t="s">
        <v>88</v>
      </c>
      <c r="B23">
        <v>109.49</v>
      </c>
      <c r="C23">
        <v>109.494</v>
      </c>
      <c r="D23">
        <v>103.12</v>
      </c>
      <c r="E23">
        <v>109.4936</v>
      </c>
      <c r="F23">
        <v>109.86799999999999</v>
      </c>
      <c r="G23">
        <v>109.494</v>
      </c>
      <c r="H23">
        <v>109.494</v>
      </c>
      <c r="I23">
        <v>109.86799999999999</v>
      </c>
      <c r="J23">
        <v>114.578</v>
      </c>
      <c r="K23">
        <v>109.86799999999999</v>
      </c>
      <c r="L23">
        <v>109.86799999999999</v>
      </c>
      <c r="M23">
        <v>103.354</v>
      </c>
      <c r="N23">
        <v>109.494</v>
      </c>
      <c r="O23">
        <v>109.494</v>
      </c>
      <c r="P23">
        <v>109.602</v>
      </c>
      <c r="Q23">
        <v>109.86799999999999</v>
      </c>
      <c r="R23">
        <v>103.354</v>
      </c>
      <c r="S23">
        <v>109.493629</v>
      </c>
      <c r="T23">
        <v>128.61699999999999</v>
      </c>
      <c r="U23">
        <v>109.494</v>
      </c>
      <c r="V23">
        <v>109.494</v>
      </c>
      <c r="W23">
        <v>109.494</v>
      </c>
      <c r="X23">
        <v>102.377</v>
      </c>
      <c r="Y23">
        <v>109.86799999999999</v>
      </c>
      <c r="Z23">
        <v>109.86799999999999</v>
      </c>
      <c r="AA23">
        <v>128.61699999999999</v>
      </c>
      <c r="AB23">
        <v>109.49</v>
      </c>
    </row>
    <row r="24" spans="1:28" x14ac:dyDescent="0.25">
      <c r="A24" s="1" t="s">
        <v>89</v>
      </c>
      <c r="B24" t="s">
        <v>90</v>
      </c>
      <c r="C24" t="s">
        <v>90</v>
      </c>
      <c r="D24" t="s">
        <v>92</v>
      </c>
      <c r="E24" t="s">
        <v>90</v>
      </c>
      <c r="F24" t="s">
        <v>97</v>
      </c>
      <c r="G24" t="s">
        <v>229</v>
      </c>
      <c r="H24" t="s">
        <v>90</v>
      </c>
      <c r="I24" t="s">
        <v>97</v>
      </c>
      <c r="J24" t="s">
        <v>92</v>
      </c>
      <c r="K24" t="s">
        <v>97</v>
      </c>
      <c r="L24" t="s">
        <v>97</v>
      </c>
      <c r="M24" t="s">
        <v>92</v>
      </c>
      <c r="N24" t="s">
        <v>229</v>
      </c>
      <c r="O24" t="s">
        <v>90</v>
      </c>
      <c r="P24" t="s">
        <v>230</v>
      </c>
      <c r="Q24" t="s">
        <v>97</v>
      </c>
      <c r="R24" t="s">
        <v>95</v>
      </c>
      <c r="S24" t="s">
        <v>90</v>
      </c>
      <c r="T24" t="s">
        <v>231</v>
      </c>
      <c r="U24" t="s">
        <v>90</v>
      </c>
      <c r="V24" t="s">
        <v>90</v>
      </c>
      <c r="W24" t="s">
        <v>90</v>
      </c>
      <c r="X24" t="s">
        <v>95</v>
      </c>
      <c r="Y24" t="s">
        <v>92</v>
      </c>
      <c r="Z24" t="s">
        <v>97</v>
      </c>
      <c r="AA24" t="s">
        <v>94</v>
      </c>
      <c r="AB24" t="s">
        <v>90</v>
      </c>
    </row>
    <row r="25" spans="1:28" x14ac:dyDescent="0.25">
      <c r="A25" s="1" t="s">
        <v>98</v>
      </c>
      <c r="B25">
        <v>2045.114</v>
      </c>
      <c r="C25">
        <v>2045.114</v>
      </c>
      <c r="D25">
        <v>2045.0530000000001</v>
      </c>
      <c r="E25">
        <v>2045.114</v>
      </c>
      <c r="F25">
        <v>2042.604</v>
      </c>
      <c r="G25">
        <v>2045.114</v>
      </c>
      <c r="H25">
        <v>2045.114</v>
      </c>
      <c r="I25">
        <v>2042.6042</v>
      </c>
      <c r="J25">
        <v>2044.6030000000001</v>
      </c>
      <c r="K25">
        <v>2042.604</v>
      </c>
      <c r="L25">
        <v>2042.604</v>
      </c>
      <c r="M25">
        <v>2044.6030000000001</v>
      </c>
      <c r="N25">
        <v>2045.114</v>
      </c>
      <c r="O25">
        <v>2045.114</v>
      </c>
      <c r="P25">
        <v>2042.604</v>
      </c>
      <c r="Q25">
        <v>2042.604</v>
      </c>
      <c r="R25">
        <v>2046.2139999999999</v>
      </c>
      <c r="S25">
        <v>2045.114</v>
      </c>
      <c r="T25">
        <v>2049.732</v>
      </c>
      <c r="U25">
        <v>2045.114</v>
      </c>
      <c r="V25">
        <v>2045.114</v>
      </c>
      <c r="W25">
        <v>2045.114</v>
      </c>
      <c r="X25">
        <v>2046.2139999999999</v>
      </c>
      <c r="Y25">
        <v>2044.6030000000001</v>
      </c>
      <c r="Z25">
        <v>2042.604</v>
      </c>
      <c r="AA25">
        <v>2046.2139999999999</v>
      </c>
      <c r="AB25">
        <v>2045.114</v>
      </c>
    </row>
    <row r="26" spans="1:28" x14ac:dyDescent="0.25">
      <c r="A26" s="1" t="s">
        <v>99</v>
      </c>
      <c r="B26">
        <v>2073.4738910000001</v>
      </c>
      <c r="C26">
        <v>2073.4740000000002</v>
      </c>
      <c r="D26">
        <v>2069.35</v>
      </c>
      <c r="E26">
        <v>2073.4739</v>
      </c>
      <c r="F26">
        <v>2069.9630000000002</v>
      </c>
      <c r="G26">
        <v>2073.4740000000002</v>
      </c>
      <c r="H26">
        <v>2073.4740000000002</v>
      </c>
      <c r="I26">
        <v>2069.9630000000002</v>
      </c>
      <c r="J26">
        <v>2070.06</v>
      </c>
      <c r="K26">
        <v>2069.9630000000002</v>
      </c>
      <c r="L26">
        <v>2069.9630000000002</v>
      </c>
      <c r="M26">
        <v>2070.06</v>
      </c>
      <c r="N26">
        <v>2073.4740000000002</v>
      </c>
      <c r="O26">
        <v>2073.4740000000002</v>
      </c>
      <c r="P26">
        <v>2069.9630000000002</v>
      </c>
      <c r="Q26">
        <v>2069.9630000000002</v>
      </c>
      <c r="R26">
        <v>2066.9259999999999</v>
      </c>
      <c r="S26">
        <v>2073.4740000000002</v>
      </c>
      <c r="T26">
        <v>2080.12</v>
      </c>
      <c r="U26">
        <v>2073.4740000000002</v>
      </c>
      <c r="V26">
        <v>2073.4740000000002</v>
      </c>
      <c r="W26">
        <v>2073.4740000000002</v>
      </c>
      <c r="X26">
        <v>2066.9259999999999</v>
      </c>
      <c r="Y26">
        <v>2070.06</v>
      </c>
      <c r="Z26">
        <v>2069.9630000000002</v>
      </c>
      <c r="AA26">
        <v>2066.9259999999999</v>
      </c>
      <c r="AB26">
        <v>2073.4738910000001</v>
      </c>
    </row>
    <row r="27" spans="1:28" x14ac:dyDescent="0.25">
      <c r="A27" s="1" t="s">
        <v>100</v>
      </c>
      <c r="B27">
        <v>109.51</v>
      </c>
      <c r="C27">
        <v>109.51</v>
      </c>
      <c r="D27">
        <v>109.43</v>
      </c>
      <c r="E27">
        <v>109.51</v>
      </c>
      <c r="F27">
        <v>109.9</v>
      </c>
      <c r="G27">
        <v>109.51</v>
      </c>
      <c r="H27">
        <v>109.51</v>
      </c>
      <c r="I27">
        <v>109.8999</v>
      </c>
      <c r="J27">
        <v>109.86799999999999</v>
      </c>
      <c r="K27">
        <v>109.9</v>
      </c>
      <c r="L27">
        <v>109.9</v>
      </c>
      <c r="M27">
        <v>109.86799999999999</v>
      </c>
      <c r="N27">
        <v>109.51</v>
      </c>
      <c r="O27">
        <v>109.51</v>
      </c>
      <c r="P27">
        <v>109.9</v>
      </c>
      <c r="Q27">
        <v>109.9</v>
      </c>
      <c r="R27">
        <v>112.82599999999999</v>
      </c>
      <c r="S27">
        <v>109.51</v>
      </c>
      <c r="T27">
        <v>105.072</v>
      </c>
      <c r="U27">
        <v>109.51</v>
      </c>
      <c r="V27">
        <v>109.51</v>
      </c>
      <c r="W27">
        <v>109.51</v>
      </c>
      <c r="X27">
        <v>112.82599999999999</v>
      </c>
      <c r="Y27">
        <v>109.86799999999999</v>
      </c>
      <c r="Z27">
        <v>109.9</v>
      </c>
      <c r="AA27">
        <v>112.82599999999999</v>
      </c>
      <c r="AB27">
        <v>109.51</v>
      </c>
    </row>
    <row r="28" spans="1:28" x14ac:dyDescent="0.25">
      <c r="A28" s="1" t="s">
        <v>101</v>
      </c>
      <c r="B28" t="s">
        <v>232</v>
      </c>
      <c r="C28" t="s">
        <v>233</v>
      </c>
      <c r="D28" t="s">
        <v>234</v>
      </c>
      <c r="E28" t="s">
        <v>235</v>
      </c>
      <c r="F28" t="s">
        <v>236</v>
      </c>
      <c r="G28" t="s">
        <v>237</v>
      </c>
      <c r="H28" t="s">
        <v>238</v>
      </c>
      <c r="I28" t="s">
        <v>239</v>
      </c>
      <c r="K28" t="s">
        <v>240</v>
      </c>
      <c r="L28" t="s">
        <v>241</v>
      </c>
      <c r="M28" t="s">
        <v>242</v>
      </c>
      <c r="N28" t="s">
        <v>243</v>
      </c>
      <c r="O28" t="s">
        <v>244</v>
      </c>
      <c r="P28" t="s">
        <v>245</v>
      </c>
      <c r="Q28" t="s">
        <v>246</v>
      </c>
      <c r="R28" t="s">
        <v>247</v>
      </c>
      <c r="S28" t="s">
        <v>248</v>
      </c>
      <c r="T28" t="s">
        <v>249</v>
      </c>
      <c r="U28" t="s">
        <v>250</v>
      </c>
      <c r="V28" t="s">
        <v>251</v>
      </c>
      <c r="W28" t="s">
        <v>252</v>
      </c>
      <c r="X28" t="s">
        <v>253</v>
      </c>
      <c r="Y28" t="s">
        <v>254</v>
      </c>
      <c r="Z28" t="s">
        <v>255</v>
      </c>
      <c r="AA28" t="s">
        <v>256</v>
      </c>
      <c r="AB28" t="s">
        <v>232</v>
      </c>
    </row>
    <row r="29" spans="1:28" x14ac:dyDescent="0.25">
      <c r="A29" s="1" t="s">
        <v>114</v>
      </c>
      <c r="B29" t="s">
        <v>79</v>
      </c>
      <c r="C29" t="s">
        <v>79</v>
      </c>
      <c r="D29" t="s">
        <v>227</v>
      </c>
      <c r="E29" t="s">
        <v>257</v>
      </c>
      <c r="F29" t="s">
        <v>78</v>
      </c>
      <c r="G29" t="s">
        <v>227</v>
      </c>
      <c r="H29" t="s">
        <v>227</v>
      </c>
      <c r="I29" t="s">
        <v>258</v>
      </c>
      <c r="K29" t="s">
        <v>259</v>
      </c>
      <c r="L29" t="s">
        <v>80</v>
      </c>
      <c r="M29" t="s">
        <v>77</v>
      </c>
      <c r="N29" t="s">
        <v>226</v>
      </c>
      <c r="O29" t="s">
        <v>260</v>
      </c>
      <c r="P29" t="s">
        <v>261</v>
      </c>
      <c r="Q29" t="s">
        <v>77</v>
      </c>
      <c r="R29" t="s">
        <v>262</v>
      </c>
      <c r="S29" t="s">
        <v>263</v>
      </c>
      <c r="T29" t="s">
        <v>116</v>
      </c>
      <c r="U29" t="s">
        <v>79</v>
      </c>
      <c r="V29" t="s">
        <v>79</v>
      </c>
      <c r="W29" t="s">
        <v>78</v>
      </c>
      <c r="X29" t="s">
        <v>228</v>
      </c>
      <c r="Y29" t="s">
        <v>116</v>
      </c>
      <c r="Z29" t="s">
        <v>264</v>
      </c>
      <c r="AA29" t="s">
        <v>77</v>
      </c>
      <c r="AB29" t="s">
        <v>79</v>
      </c>
    </row>
    <row r="30" spans="1:28" x14ac:dyDescent="0.25">
      <c r="A30" s="1" t="s">
        <v>118</v>
      </c>
      <c r="B30" t="s">
        <v>22</v>
      </c>
      <c r="C30" t="s">
        <v>22</v>
      </c>
      <c r="D30" t="s">
        <v>119</v>
      </c>
      <c r="E30" t="s">
        <v>121</v>
      </c>
      <c r="F30" t="s">
        <v>119</v>
      </c>
      <c r="G30" t="s">
        <v>119</v>
      </c>
      <c r="H30" t="s">
        <v>119</v>
      </c>
      <c r="I30" t="s">
        <v>119</v>
      </c>
      <c r="J30" t="s">
        <v>119</v>
      </c>
      <c r="K30" t="s">
        <v>120</v>
      </c>
      <c r="L30" t="s">
        <v>119</v>
      </c>
      <c r="M30" t="s">
        <v>119</v>
      </c>
      <c r="N30" t="s">
        <v>119</v>
      </c>
      <c r="O30" t="s">
        <v>119</v>
      </c>
      <c r="P30" t="s">
        <v>119</v>
      </c>
      <c r="Q30" t="s">
        <v>119</v>
      </c>
      <c r="R30" t="s">
        <v>122</v>
      </c>
      <c r="T30" t="s">
        <v>119</v>
      </c>
      <c r="U30" t="s">
        <v>119</v>
      </c>
      <c r="V30" t="s">
        <v>119</v>
      </c>
      <c r="W30" t="s">
        <v>119</v>
      </c>
      <c r="X30" t="s">
        <v>122</v>
      </c>
      <c r="Y30" t="s">
        <v>119</v>
      </c>
      <c r="Z30" t="s">
        <v>119</v>
      </c>
      <c r="AA30" t="s">
        <v>119</v>
      </c>
      <c r="AB30" t="s">
        <v>22</v>
      </c>
    </row>
    <row r="31" spans="1:28" x14ac:dyDescent="0.25">
      <c r="A31" s="1" t="s">
        <v>123</v>
      </c>
      <c r="B31" t="s">
        <v>24</v>
      </c>
      <c r="C31" t="s">
        <v>24</v>
      </c>
      <c r="D31" t="s">
        <v>122</v>
      </c>
      <c r="E31" t="s">
        <v>122</v>
      </c>
      <c r="F31" t="s">
        <v>122</v>
      </c>
      <c r="G31" t="s">
        <v>265</v>
      </c>
      <c r="H31" t="s">
        <v>122</v>
      </c>
      <c r="I31" t="s">
        <v>122</v>
      </c>
      <c r="J31" t="s">
        <v>122</v>
      </c>
      <c r="K31" t="s">
        <v>122</v>
      </c>
      <c r="L31" t="s">
        <v>122</v>
      </c>
      <c r="M31" t="s">
        <v>122</v>
      </c>
      <c r="N31" t="s">
        <v>122</v>
      </c>
      <c r="O31" t="s">
        <v>122</v>
      </c>
      <c r="P31" t="s">
        <v>122</v>
      </c>
      <c r="Q31" t="s">
        <v>122</v>
      </c>
      <c r="R31" t="s">
        <v>122</v>
      </c>
      <c r="T31" t="s">
        <v>122</v>
      </c>
      <c r="U31" t="s">
        <v>122</v>
      </c>
      <c r="V31" t="s">
        <v>122</v>
      </c>
      <c r="W31" t="s">
        <v>122</v>
      </c>
      <c r="X31" t="s">
        <v>122</v>
      </c>
      <c r="Y31" t="s">
        <v>122</v>
      </c>
      <c r="Z31" t="s">
        <v>122</v>
      </c>
      <c r="AA31" t="s">
        <v>122</v>
      </c>
      <c r="AB31" t="s">
        <v>24</v>
      </c>
    </row>
    <row r="32" spans="1:28" x14ac:dyDescent="0.25">
      <c r="A32" s="1" t="s">
        <v>124</v>
      </c>
      <c r="B32" t="s">
        <v>22</v>
      </c>
      <c r="C32" t="s">
        <v>22</v>
      </c>
      <c r="D32" t="s">
        <v>119</v>
      </c>
      <c r="E32" t="s">
        <v>119</v>
      </c>
      <c r="G32" t="s">
        <v>119</v>
      </c>
      <c r="H32" t="s">
        <v>119</v>
      </c>
      <c r="I32" t="s">
        <v>119</v>
      </c>
      <c r="J32" t="s">
        <v>119</v>
      </c>
      <c r="K32" t="s">
        <v>119</v>
      </c>
      <c r="L32" t="s">
        <v>119</v>
      </c>
      <c r="M32" t="s">
        <v>119</v>
      </c>
      <c r="N32" t="s">
        <v>119</v>
      </c>
      <c r="O32" t="s">
        <v>119</v>
      </c>
      <c r="P32" t="s">
        <v>119</v>
      </c>
      <c r="Q32" t="s">
        <v>119</v>
      </c>
      <c r="R32" t="s">
        <v>122</v>
      </c>
      <c r="T32" t="s">
        <v>119</v>
      </c>
      <c r="U32" t="s">
        <v>119</v>
      </c>
      <c r="V32" t="s">
        <v>119</v>
      </c>
      <c r="W32" t="s">
        <v>119</v>
      </c>
      <c r="X32" t="s">
        <v>122</v>
      </c>
      <c r="Y32" t="s">
        <v>119</v>
      </c>
      <c r="Z32" t="s">
        <v>119</v>
      </c>
      <c r="AA32" t="s">
        <v>119</v>
      </c>
      <c r="AB32" t="s">
        <v>22</v>
      </c>
    </row>
    <row r="33" spans="1:27" x14ac:dyDescent="0.25">
      <c r="A33" s="1" t="s">
        <v>21</v>
      </c>
      <c r="D33" t="s">
        <v>22</v>
      </c>
    </row>
    <row r="34" spans="1:27" x14ac:dyDescent="0.25">
      <c r="A34" s="1" t="s">
        <v>266</v>
      </c>
      <c r="F34" t="s">
        <v>119</v>
      </c>
      <c r="Y34" t="s">
        <v>119</v>
      </c>
    </row>
    <row r="35" spans="1:27" x14ac:dyDescent="0.25">
      <c r="A35" s="1" t="s">
        <v>267</v>
      </c>
      <c r="F35" t="s">
        <v>119</v>
      </c>
    </row>
    <row r="36" spans="1:27" x14ac:dyDescent="0.25">
      <c r="A36" s="1" t="s">
        <v>126</v>
      </c>
      <c r="I36" t="s">
        <v>119</v>
      </c>
      <c r="J36" t="s">
        <v>119</v>
      </c>
      <c r="L36" t="s">
        <v>119</v>
      </c>
      <c r="P36" t="s">
        <v>119</v>
      </c>
      <c r="Q36" t="s">
        <v>119</v>
      </c>
      <c r="U36" t="s">
        <v>119</v>
      </c>
      <c r="W36" t="s">
        <v>119</v>
      </c>
      <c r="X36" t="s">
        <v>122</v>
      </c>
      <c r="AA36" t="s">
        <v>119</v>
      </c>
    </row>
    <row r="37" spans="1:27" x14ac:dyDescent="0.25">
      <c r="A37" s="1" t="s">
        <v>127</v>
      </c>
      <c r="M37" t="s">
        <v>122</v>
      </c>
    </row>
    <row r="38" spans="1:27" x14ac:dyDescent="0.25">
      <c r="A38" s="1" t="s">
        <v>268</v>
      </c>
      <c r="T38"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Nota</vt:lpstr>
      <vt:lpstr>Projetos</vt:lpstr>
      <vt:lpstr>P2 A</vt:lpstr>
      <vt:lpstr>P2 B</vt:lpstr>
      <vt:lpstr>Ex3</vt:lpstr>
      <vt:lpstr>Ex4</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ROGERIO DE OLIVEIRA</cp:lastModifiedBy>
  <dcterms:created xsi:type="dcterms:W3CDTF">2026-06-21T15:37:35Z</dcterms:created>
  <dcterms:modified xsi:type="dcterms:W3CDTF">2026-06-23T22:20:11Z</dcterms:modified>
</cp:coreProperties>
</file>