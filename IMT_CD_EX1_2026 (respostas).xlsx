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ano_2026S1\CD\"/>
    </mc:Choice>
  </mc:AlternateContent>
  <xr:revisionPtr revIDLastSave="0" documentId="13_ncr:20001_{BCC0D09C-D691-49B1-84D2-797B9493086F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spostas ao formulário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1" l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</calcChain>
</file>

<file path=xl/sharedStrings.xml><?xml version="1.0" encoding="utf-8"?>
<sst xmlns="http://schemas.openxmlformats.org/spreadsheetml/2006/main" count="648" uniqueCount="301">
  <si>
    <t>Carimbo de data/hora</t>
  </si>
  <si>
    <t>Endereço de e-mail</t>
  </si>
  <si>
    <t xml:space="preserve">Nome
</t>
  </si>
  <si>
    <t xml:space="preserve">RA
</t>
  </si>
  <si>
    <t xml:space="preserve">Q1.
(NFL) Qual a média de passes completos (pass_cmp) do jogador 'Aaron Rodgers' nos jogos que se encontram na base?
Resp. 25.8
</t>
  </si>
  <si>
    <t xml:space="preserve">Q2.
(NFL) Por quantos times diferentes jogaram 'Phillip Dorsett' e 'Marcus Johnson' no período de jogos que se encontram na base?
Resp. 5 9
</t>
  </si>
  <si>
    <t xml:space="preserve">Q3.
(NFL) Quantos jogos estão representados na base?
Resp. 932
</t>
  </si>
  <si>
    <t xml:space="preserve">Q4.
(NFL) O "Bufalo Bulls" (BUF) participou de quantos jogos dentre os jogos na base?
Resp. 32
</t>
  </si>
  <si>
    <t xml:space="preserve">Q5.
(NFL) Qual time fez mais jogos em casa considerando os jogos da base?
Resp. BUF
</t>
  </si>
  <si>
    <t xml:space="preserve">Q6.
Qual foi o percentual de partidas ganhas pelo "Bufalo Bulls" considerados todos os jogos da base em que participou?
Resp. 72.3
</t>
  </si>
  <si>
    <t xml:space="preserve">Q7.
(NFL) Que tipo de Superfície nos estádios não são encontradas nos estádios com teto (Roof) do tipo outdoors?
Resp. [ 'abc', 'xyz', 'kkk' ]
</t>
  </si>
  <si>
    <t xml:space="preserve">Q8.
(NFL) Você pode afirmar, com base nos jogos da base, que os resultados dos jogos (vitórias) favorecem o time "da casa"?
Resp. Texto
</t>
  </si>
  <si>
    <t xml:space="preserve">Q9.
Qual a média de consumo do Brasil considerando todos os anos?
Resp. 7865.9
</t>
  </si>
  <si>
    <t xml:space="preserve">Q10.
Quais são os 5 top países consumidores de barris de petróleo no ano de 2024?
Resp. [ 'noruega', 'india', ... 'brasil' ]
</t>
  </si>
  <si>
    <t xml:space="preserve">Q11.
Qual o percentual do consumo dos 5 top países consumidores de barris de petróleo no ano de 2024 com relação ao total de consumo no mundo no ano de 2024?
Resp. 58.8
</t>
  </si>
  <si>
    <t xml:space="preserve">Q12.
(European Energy) Quantos países há na base?
Resp. 97
</t>
  </si>
  <si>
    <t xml:space="preserve">Q13.
(European Energy) Qual percentual de energia nuclear produzida na Europa no ano de 2018?
Resp. 25.8
</t>
  </si>
  <si>
    <t xml:space="preserve">Q14.
(European Energy) Qual o percentual da energia da França que vem de energia nuclear no ano de 2018?
Resp. 75.8
</t>
  </si>
  <si>
    <t xml:space="preserve">Q14.
Considerando todo o período, qual a valorização dos ativos de maior e menor ganho percentual?
Resp. 45.8 400.1
</t>
  </si>
  <si>
    <t xml:space="preserve">Q16.
A MAIOR PARTE dos ativos da base teve sua maior valorização em um único dia no mesmo ano e mês. Qual foi esse ano-mês especial?
Resp. Texto
</t>
  </si>
  <si>
    <t xml:space="preserve">Poste aqui o link do seu notebook Colab compartilhado como público. 
</t>
  </si>
  <si>
    <t>fosakae@gmail.com</t>
  </si>
  <si>
    <t>Felipe Kenzo Ohara Sakae</t>
  </si>
  <si>
    <t>22.00815-2</t>
  </si>
  <si>
    <t>4 2</t>
  </si>
  <si>
    <t>KAN</t>
  </si>
  <si>
    <t>['matrixturf', 'sportturf']</t>
  </si>
  <si>
    <t>Sim, é possível afirmar que os resultados dos jogos favorecem o time da casa, pois eles possuem um percentual de vitórias de 51.16%</t>
  </si>
  <si>
    <t>['united_states', 'china', 'india', 'saudi_arabia', 'russian_federation']</t>
  </si>
  <si>
    <t>0.41586425467189825 20.521547846676295</t>
  </si>
  <si>
    <t>[('BTC-USD %', np.float64(51.23456790123457)), ('BRL=X %', np.float64(36.28747795414462)), ('PETR4.SA %', np.float64(35.509483899426556)), ('^BVSP %', np.float64(35.112483458314955)), ('ITUB3.SA %', np.float64(33.7009263343626)), ('VALE3.SA %', np.float64(33.30392589325099))]</t>
  </si>
  <si>
    <t>--- DATAS DAS MAIORES ALTAS DIÁRIAS ---
BRL=X: +6.21% em 05/2020
BTC-USD: +18.75% em 02/2021
ITUB3.SA: +11.03% em 03/2020
PETR4.SA: +22.22% em 03/2020
VALE3.SA: +21.36% em 03/2020
^BVSP: +13.91% em 03/2020
--- DATAS DAS MAIORES QUEDAS DIÁRIAS ---
BRL=X: -6.03% em 05/2020
BTC-USD: -37.17% em 03/2020
ITUB3.SA: -20.07% em 10/2021
PETR4.SA: -29.70% em 03/2020
VALE3.SA: -24.56% em 01/2019
^BVSP: -14.78% em 03/2020
Ano especial: 03/2020</t>
  </si>
  <si>
    <t>https://colab.research.google.com/drive/1BfxWQNPl-JzzTJB0SxVTQmVAml3J2NGg?usp=sharing</t>
  </si>
  <si>
    <t>vinicius.gdechechi@gmail.com</t>
  </si>
  <si>
    <t xml:space="preserve">Vinicius Garcia Imendes Dechechi </t>
  </si>
  <si>
    <t>22.01568-0</t>
  </si>
  <si>
    <t>22.9</t>
  </si>
  <si>
    <t>67.2</t>
  </si>
  <si>
    <t>print(f'{home_win_pct:.2f}% em jogos em casa, logo Não dá para afirmar uma vantagem forte do time da casa')</t>
  </si>
  <si>
    <t>4453.8</t>
  </si>
  <si>
    <t>48.1</t>
  </si>
  <si>
    <t>70.1</t>
  </si>
  <si>
    <t>0.41 20.5</t>
  </si>
  <si>
    <t>[51.23, 36.29, 35.51, 35.11, 33.7, 33.3]</t>
  </si>
  <si>
    <t>Março de 2020 (2020-03)</t>
  </si>
  <si>
    <t>https://colab.research.google.com/drive/1lOG5IRnNDAlwqKLeLJwqRF_WLOkIYguQ?usp=sharing</t>
  </si>
  <si>
    <t>murillostrina127@gmail.com</t>
  </si>
  <si>
    <t>Murillo Strina</t>
  </si>
  <si>
    <t>22.00730-0</t>
  </si>
  <si>
    <t>67.3</t>
  </si>
  <si>
    <t>Sim, os resultados favorecem o time "da casa".</t>
  </si>
  <si>
    <t>41.6 2052.1</t>
  </si>
  <si>
    <t>[51.23, 36.29, 35.51, 35.11, 33.70, 33.30]</t>
  </si>
  <si>
    <t>Ano-mês especial: 2020-03 (4 de 6 ativos tiveram maior valorização nesse mês)</t>
  </si>
  <si>
    <t>https://colab.research.google.com/drive/12ec72H0zy94HBF-gAOUNMziS1vj8p5Uh?usp=sharing</t>
  </si>
  <si>
    <t>leonardo.amadio4@gmail.com</t>
  </si>
  <si>
    <t>Leonardo Roberto Amadio</t>
  </si>
  <si>
    <t>22.01300-8</t>
  </si>
  <si>
    <t>22.91</t>
  </si>
  <si>
    <t>67.27</t>
  </si>
  <si>
    <t>['sportturf', 'matrixturf']</t>
  </si>
  <si>
    <t>Tecnicamente, há uma vantagem, mas ela é pequena. Em termos práticos, 51% indica que o 'fator casa' existe, mas não é determinante o suficiente para garantir um resultado. Em muitos campeonatos, essa diferença é considerada um 'ruído estatístico' ou uma vantagem leve, mas em apostas, por exemplo, esses 1% ou 2% acima da média são o que define o favoritismo.</t>
  </si>
  <si>
    <t>2315.98</t>
  </si>
  <si>
    <t>48.11</t>
  </si>
  <si>
    <t>22.93</t>
  </si>
  <si>
    <t>70.11</t>
  </si>
  <si>
    <t>2025.15 41.59</t>
  </si>
  <si>
    <t>Com base na análise dos dados, o 'ano-mês especial' foi março de 2020 (2020-03). Nesse mês, 4 dos 6 ativos da base (ITUB3.SA, PETR4.SA, VALE3.SA e ^BVSP) registraram suas maiores valorizações diárias de todo o período.</t>
  </si>
  <si>
    <t>https://colab.research.google.com/drive/14Ar_3dSEBMYYXRoZxjcUONGr4KfoEfsy?usp=sharing</t>
  </si>
  <si>
    <t>21.01660-7@maua.br</t>
  </si>
  <si>
    <t>Rodrigo Fernandes Faltz</t>
  </si>
  <si>
    <t>21.01660-7</t>
  </si>
  <si>
    <t xml:space="preserve">4 2 </t>
  </si>
  <si>
    <t>Sim</t>
  </si>
  <si>
    <t>10.3</t>
  </si>
  <si>
    <t>46.5 437.6</t>
  </si>
  <si>
    <t>[51.23, 36.29, 35.51, 33.7, 33.3]</t>
  </si>
  <si>
    <t>2020-03</t>
  </si>
  <si>
    <t>https://colab.research.google.com/drive/10nJcshlYYShSUgWJ5IcbifHXMy1ZIn6H?usp=sharing</t>
  </si>
  <si>
    <t>acramin@gmail.com</t>
  </si>
  <si>
    <t>Amanda Carolina Ambrizzi Ramin</t>
  </si>
  <si>
    <t>22.00721-0</t>
  </si>
  <si>
    <t>6.13</t>
  </si>
  <si>
    <t>10.4</t>
  </si>
  <si>
    <t>https://colab.research.google.com/drive/1rIRTgaimzMTIvmwlqyGBQtj04oGSR3Im#scrollTo=P_o4S9Maakge</t>
  </si>
  <si>
    <t>enricosantarelli@hotmail.com</t>
  </si>
  <si>
    <t>Enrico Mota Santarelli</t>
  </si>
  <si>
    <t>22.00370-3</t>
  </si>
  <si>
    <t>Sim, a quantidade de vitórias em casa é praticamente a mesma das vitórias fora de casa, porém existe uma pequena superioridade em relação ao percentual</t>
  </si>
  <si>
    <t>[ 'united_states', 'china', 'india', 'saudi_arabia', 'russian_federation' ]</t>
  </si>
  <si>
    <t>[51.21, 36.27, 35.48, 35.08, 33.67, 33.27]</t>
  </si>
  <si>
    <t>2020-03-13</t>
  </si>
  <si>
    <t>https://colab.research.google.com/drive/1FdDs8_DhLUgtGLPWLsz06cCjqTFZJq7m?usp=sharing</t>
  </si>
  <si>
    <t>22.01228-5@maua.br</t>
  </si>
  <si>
    <t>Sérgio Guidi Trovo</t>
  </si>
  <si>
    <t>22.01128-5</t>
  </si>
  <si>
    <t>Não se pode afirmar que o "time da casa é favorecido, já que apenas 51% dos jogos são vencidos pelo time da casa.</t>
  </si>
  <si>
    <t>[0.51, 0.36, 0.35, 0.35, 0.34, 0.33]</t>
  </si>
  <si>
    <t>https://colab.research.google.com/drive/14NKnanCPnVISX4j9wz0Kz8hf5IE1cn5u?usp=sharing</t>
  </si>
  <si>
    <t>22.00571-4@maua.br</t>
  </si>
  <si>
    <t>Otto Camargo Kuchkarian</t>
  </si>
  <si>
    <t>22.00571-4</t>
  </si>
  <si>
    <t>['grass', 'fieldturf ', 'fieldturf', 'astroturf', 'grass ', 'a_turf']</t>
  </si>
  <si>
    <t>março, 2020-03</t>
  </si>
  <si>
    <t>https://colab.research.google.com/drive/14K_vXZjpRjKNQQqLg_dH8KNP6LuRDh2G?usp=sharing</t>
  </si>
  <si>
    <t>guimartins10sp@gmail.com</t>
  </si>
  <si>
    <t>Guilherme Martins Souza Paula</t>
  </si>
  <si>
    <t>22.00006-2</t>
  </si>
  <si>
    <t>Não se pode afirmar, o time da casa vence 50.98% das vezes.</t>
  </si>
  <si>
    <t>46.34 2052.2</t>
  </si>
  <si>
    <t>https://colab.research.google.com/drive/1RObasXUr6__5qY68HNR9m3MXQ_hf1TDO?usp=sharing</t>
  </si>
  <si>
    <t>lucascrapino@gmail.com</t>
  </si>
  <si>
    <t>Lucas Gozze Crapino</t>
  </si>
  <si>
    <t>22.00667-2</t>
  </si>
  <si>
    <t>[''sportturf', 'matrixturf']</t>
  </si>
  <si>
    <t>Não se pode afirmar com toda certeza que os resultados dos jogos favorecem o time mandante, pois a diferença de vitórias é muito pequena...</t>
  </si>
  <si>
    <t>46.3 2052.2</t>
  </si>
  <si>
    <t>O ano-mês especial é: 2020-03</t>
  </si>
  <si>
    <t>https://colab.research.google.com/drive/1FT9FujDffaEun602DnZ8klB2m3xvQJVg?usp=sharing</t>
  </si>
  <si>
    <t>leohdmoura@gmail.com</t>
  </si>
  <si>
    <t>Leonardo Henrique Dias Moura</t>
  </si>
  <si>
    <t>21.01837-5</t>
  </si>
  <si>
    <t>Não é possível concluir que nos jogos da base os resultados favorecem o time da casa, pois, por mais que a maioria dos jogos na base foram ganhos pelo time da casa, a porcentagem de vitória dos times da casa é de 51,16% o que é muito próximo de 50% e indica que tem resultados bem balanceados.</t>
  </si>
  <si>
    <t>2052.2 41.6</t>
  </si>
  <si>
    <t>Esse ano-mês especial foi Março de 2020, ou 03/2020</t>
  </si>
  <si>
    <t>https://colab.research.google.com/drive/1CaQTnHZ9VLIRPIveenPtzoq-o4mqtXEp?usp=sharing</t>
  </si>
  <si>
    <t>22.00952-3@maua.br</t>
  </si>
  <si>
    <t>Leonardo Galdi Fiorese</t>
  </si>
  <si>
    <t>22.00952-3</t>
  </si>
  <si>
    <t>Sim, porém a diferença é muito pequena</t>
  </si>
  <si>
    <t>https://colab.research.google.com/drive/1yv7VXnGBaJ-VgH5wzcRUl_7WTWCk6uuH?usp=sharing</t>
  </si>
  <si>
    <t>rm150604@gmail.com</t>
  </si>
  <si>
    <t>Rodrigo Reis Monasterios Morales</t>
  </si>
  <si>
    <t>22.01432-2</t>
  </si>
  <si>
    <t>https://colab.research.google.com/drive/10K9aZw8JFaLYDUj7JkyGztUkfJiPtJxY?usp=sharing</t>
  </si>
  <si>
    <t>22.01339-3@maua.br</t>
  </si>
  <si>
    <t>André Felipe Silva Xavier</t>
  </si>
  <si>
    <t>22.01339-3</t>
  </si>
  <si>
    <t>['grass' 'fieldturf ' 'fieldturf' 'astroturf' 'grass ' 'a_turf']</t>
  </si>
  <si>
    <t xml:space="preserve"> Analisando puramente as linhas dos dataframes filtrados pelas linhas # onde o time da casa foi vencedor e onde o time visitante foi vencedor # é possível perceber que os times de casa possuem uma maior quantidade # de vitórias, pelo número de linhas retornado pelo dataframe que filtra as ocorrências em que o time da casa foi vencedor.</t>
  </si>
  <si>
    <t>['united_states','china','india','saudi_arabia','russian_federation']</t>
  </si>
  <si>
    <t>46.5 437.5</t>
  </si>
  <si>
    <t>Esse ano-mês especial é 2020-03 (março de 2023).</t>
  </si>
  <si>
    <t>https://colab.research.google.com/drive/1jCuRMtET1U5213ExE-hJk0wIAiXCyD65?usp=sharing</t>
  </si>
  <si>
    <t>22.01464-0@maua.br</t>
  </si>
  <si>
    <t>Rafael Assanti</t>
  </si>
  <si>
    <t>22.01464-0</t>
  </si>
  <si>
    <t>Março de 2020</t>
  </si>
  <si>
    <t>https://colab.research.google.com/drive/159jeoZl1mBI22jxxiqWxj_dxBsYZWp4f?usp=sharing</t>
  </si>
  <si>
    <t>21.00122-7@maua.br</t>
  </si>
  <si>
    <t>Bruno Giannini Loffreda</t>
  </si>
  <si>
    <t>21.00122-7</t>
  </si>
  <si>
    <t>?</t>
  </si>
  <si>
    <t>Não, há uma diferença insignificante entre o percentual de vitórias e derrotas em casa.</t>
  </si>
  <si>
    <t>0.46512625003988217 4.375946032567592</t>
  </si>
  <si>
    <t>[0.5121198765976201, 0.3627148523578669, 0.3547818422212428, 0.3508153371529308, 0.3367122080211547, 0.33274570295284267]</t>
  </si>
  <si>
    <t>https://drive.google.com/file/d/1fUfyDhsx9dKHjWW-HSlCuu2_tOvn_1Lc/view?usp=sharing</t>
  </si>
  <si>
    <t>arthurjwlee02@gmail.com</t>
  </si>
  <si>
    <t>Arthur Jin Woo Lee</t>
  </si>
  <si>
    <t>22.01519-0</t>
  </si>
  <si>
    <t>WAS</t>
  </si>
  <si>
    <t>['sportturf' , 'matrixturf']</t>
  </si>
  <si>
    <t># resposta texto vitorias_home = df[df['home_score'] &gt; df['vis_score']]['game_id'].nunique() vitorias_vis = df[df['home_score'] &lt; df['vis_score']]['game_id'].nunique() vitoria__home= vitorias_home - vitorias_vis vitoria__vis = vitorias_vis - vitorias_home print(vitoria__vis,vitoria__home)  # portanto os jogos em casa tendem a favorecer seus times</t>
  </si>
  <si>
    <t>['estados unidos', 'china', 'india', 'arabia saudita', 'russia']</t>
  </si>
  <si>
    <t>['51.23', '36.29', '35.51', '35.11', '33.70', '33.30']</t>
  </si>
  <si>
    <t>https://colab.research.google.com/drive/1k6miAypraB6DTZcthd2ZYWX658Xx4qWv#scrollTo=ZwFfWonAZkgZ</t>
  </si>
  <si>
    <t>21.00586-9@maua.br</t>
  </si>
  <si>
    <t>Estevan Feher</t>
  </si>
  <si>
    <t>21.00586-9</t>
  </si>
  <si>
    <t>Sim, 50.9 dos jogos foram vitoria da casa</t>
  </si>
  <si>
    <t>2315.9</t>
  </si>
  <si>
    <t xml:space="preserve">['united_states', 'china', 'india', 'saudi_arabia', 'russian_federation'] </t>
  </si>
  <si>
    <t>58.8</t>
  </si>
  <si>
    <t>25.8</t>
  </si>
  <si>
    <t>75.8</t>
  </si>
  <si>
    <t>45.8.400.1</t>
  </si>
  <si>
    <t>https://colab.research.google.com/drive/1Dv3AdOffvXeMKJvRVerdDFwGHvHqyq0y?usp=sharing</t>
  </si>
  <si>
    <t>22.00170-0@maua.br</t>
  </si>
  <si>
    <t>LEONARDO TAGLIATI DA SILVA</t>
  </si>
  <si>
    <t>22.00170-0</t>
  </si>
  <si>
    <t>4.2</t>
  </si>
  <si>
    <t xml:space="preserve">Porcentagem de vitórias em casa: 51.16% Tem mais vitórias dos times da casa do que visitantes? </t>
  </si>
  <si>
    <t>[estados unidos, china, india, arabia saudita, russia]</t>
  </si>
  <si>
    <t>65.2</t>
  </si>
  <si>
    <t>2052.2, 41.6</t>
  </si>
  <si>
    <t>NF</t>
  </si>
  <si>
    <t>https://colab.research.google.com/drive/1h1zC7cczxKToqSE6Y3jpUPHTNU6G0Qiq#scrollTo=P_o4S9Maakge</t>
  </si>
  <si>
    <t>19.02012-0@maua.br</t>
  </si>
  <si>
    <t>André Solano Ferreira Rodrigues Maiolini</t>
  </si>
  <si>
    <t>19.02012-0</t>
  </si>
  <si>
    <t>Texto</t>
  </si>
  <si>
    <t>45.8 400.1</t>
  </si>
  <si>
    <t>[21.21, 16.27, ... , 11.1]</t>
  </si>
  <si>
    <t>https://colab.research.google.com/drive/1ZOLC_MwRuNStafqhSpyj-gLaW5_U0qU-?usp=sharing</t>
  </si>
  <si>
    <t>22.00921-3@maua.br</t>
  </si>
  <si>
    <t>Lucas Castanho Paganotto Carvalho</t>
  </si>
  <si>
    <t>22.00921-3</t>
  </si>
  <si>
    <t>Sim, 50.97560975609756 dos jogos foram vitoria da casa</t>
  </si>
  <si>
    <t>nao deu tempo</t>
  </si>
  <si>
    <t>https://colab.research.google.com/drive/1lr-y1aNYB5ab3Vr1_4rkZ9crce4wseS1?usp=sharing</t>
  </si>
  <si>
    <t>22.01097-0@maua.br</t>
  </si>
  <si>
    <t>Durval Consorti Soranz de Barros Santos</t>
  </si>
  <si>
    <t>22.01097-0</t>
  </si>
  <si>
    <t>nao deu</t>
  </si>
  <si>
    <t>23.23</t>
  </si>
  <si>
    <t>71.26</t>
  </si>
  <si>
    <t>https://colab.research.google.com/drive/1gPIzjnp9-jPC7IB0mbmZ99OSfkDrMH1u?usp=sharing</t>
  </si>
  <si>
    <t>22.01255-9@maua.br</t>
  </si>
  <si>
    <t>André Renato Almeida Abreu</t>
  </si>
  <si>
    <t>22.01255-9</t>
  </si>
  <si>
    <t>Não, porque as estatísticas são muito equilibradas</t>
  </si>
  <si>
    <t>O ano-mês especial onde a MAIOR PARTE dos ativos teve sua maior valorização em um único dia é: 2020-03</t>
  </si>
  <si>
    <t>https://colab.research.google.com/drive/1w5kBB6XieMUsCgXta08Htnva-kDLdXoJ?usp=sharing</t>
  </si>
  <si>
    <t>fernando.magimenez@gmail.com</t>
  </si>
  <si>
    <t>Fernando Minharro Alves Gimenez</t>
  </si>
  <si>
    <t>22.00833-0</t>
  </si>
  <si>
    <t>Devido a uma quantidade muito próxima de resultados entre vitórias em casa e vitórias de visitante não é possível afirmar que há uma vantagem que favoreça o time da casa</t>
  </si>
  <si>
    <t>[51.2, 36.3, 35.5, 35.1, 33.7,  33.3]</t>
  </si>
  <si>
    <t xml:space="preserve">O ano-mês especial é: 2020-03
</t>
  </si>
  <si>
    <t>https://colab.research.google.com/drive/1_X2ianUbQAZsvmLF6rmxDN6JQxOlYoM7?usp=sharing</t>
  </si>
  <si>
    <t>21.00036-0@maua.br</t>
  </si>
  <si>
    <t>Giuliano Rodrigues Tumoli</t>
  </si>
  <si>
    <t>21.00036-0</t>
  </si>
  <si>
    <t>Sim, os times "da casa" possuem uma pequena vantagem, com percentual de vitória de 50,98%</t>
  </si>
  <si>
    <t>46.51 437.59</t>
  </si>
  <si>
    <t>O ano-mês com a maior valorização para a maior parte dos ativos foi 2020-03</t>
  </si>
  <si>
    <t>https://colab.research.google.com/drive/1M5HVBiLVOed64Oa18HQgXgljJzozbTrO?usp=sharing</t>
  </si>
  <si>
    <t>21.00634-2@maua.br</t>
  </si>
  <si>
    <t>Rafael Maciel Bertani</t>
  </si>
  <si>
    <t>21.00634-2</t>
  </si>
  <si>
    <t>Sim, é possível afirmar que os resultados dos jogos (vitórias) favorecem levemente o time "da casa" porque a porcentagem de vitórias está em 50,98%</t>
  </si>
  <si>
    <t>O ano-mês especial foi 2020-03</t>
  </si>
  <si>
    <t>https://colab.research.google.com/drive/1mNEEUuUP4ywAmHJUKJZpRXyVc79sury-?usp=sharing</t>
  </si>
  <si>
    <t>22.00085-2@maua.br</t>
  </si>
  <si>
    <t>João Vitor Marques Ferrenha Cerqueira</t>
  </si>
  <si>
    <t>22.00085-2</t>
  </si>
  <si>
    <t>Sim, os times casa tem percentual de vitória maior</t>
  </si>
  <si>
    <t>4453.81</t>
  </si>
  <si>
    <t>48.11%</t>
  </si>
  <si>
    <t>[51.23, 36.28, 36.28, 35.50, 35.11, 33.70, 33.30]</t>
  </si>
  <si>
    <t>Sim, no dia 2020-03</t>
  </si>
  <si>
    <t>https://colab.research.google.com/drive/1nd640IiJ-1ENjSbptZ3p7zDXXOUiCaza?usp=sharing</t>
  </si>
  <si>
    <t>20.00628-4@maua.br</t>
  </si>
  <si>
    <t>Matheus Santos Feitosa</t>
  </si>
  <si>
    <t>20.00628-4</t>
  </si>
  <si>
    <t>23.2</t>
  </si>
  <si>
    <t>71.3</t>
  </si>
  <si>
    <t>20.5 0.4</t>
  </si>
  <si>
    <t>[51.2, 36.3, 35.5, 35.1, 33.7, 33.3]</t>
  </si>
  <si>
    <t>https://colab.research.google.com/drive/1W2nzA9AyrnQZ2xcU-DQq28iN4zv3MORN?usp=sharing</t>
  </si>
  <si>
    <t>andreprino0@gmail.com</t>
  </si>
  <si>
    <t>André Freire Prino</t>
  </si>
  <si>
    <t>21.00476-5</t>
  </si>
  <si>
    <t>sim</t>
  </si>
  <si>
    <t>46.512625003988276  437.5946032567564</t>
  </si>
  <si>
    <t>https://colab.research.google.com/drive/1JImOfAhFPeai8ZOAizsS6tf-cFVzk--Y?usp=sharing</t>
  </si>
  <si>
    <t>21.00322-0@maua.br</t>
  </si>
  <si>
    <t>Luis Gustavo Machado</t>
  </si>
  <si>
    <t>21.00322-0</t>
  </si>
  <si>
    <t>Sim, o time da casa vence aproximadamente 51% das vezes.</t>
  </si>
  <si>
    <t>41.59 2052.15</t>
  </si>
  <si>
    <t>Esse ano-mês especial foi: 2020-03</t>
  </si>
  <si>
    <t>https://colab.research.google.com/drive/1ABsai6yQBAE9-xxLAgsBwzXynxJA4A6S?usp=sharing</t>
  </si>
  <si>
    <t>lucas.olivares.borges@gmail.com</t>
  </si>
  <si>
    <t>Lucas Olivares Borges da Silva</t>
  </si>
  <si>
    <t>22.00889-6</t>
  </si>
  <si>
    <t>41.6 2052.15</t>
  </si>
  <si>
    <t>https://colab.research.google.com/drive/1feVCTyJEfvc32A18RXDFq3FLi_H3aZM5?usp=sharing</t>
  </si>
  <si>
    <t>22.00856-0@maua.br</t>
  </si>
  <si>
    <t>Tiago Tadeu de Azevedo</t>
  </si>
  <si>
    <t>22.00856-0</t>
  </si>
  <si>
    <t>{'matrixturf', 'sportturf'}</t>
  </si>
  <si>
    <t>Os Mandantes venceram: 418 oque resulta em 50.98% das vitorias Os Visitantes venceram: 399 oque resulta em 48.66% das vitorias</t>
  </si>
  <si>
    <t>['51.23%', '36.29%', '35.51%', '35.11%', '33.70%', '33.30%']</t>
  </si>
  <si>
    <t>O ano-mês especial é: 2020-03 (Ocorreu para 4 ativos)</t>
  </si>
  <si>
    <t>https://colab.research.google.com/drive/1GLXxhwcYUwiTTDMjGpbhVP2O73HV62AQ?usp=sharing</t>
  </si>
  <si>
    <t>jpbr2004@gmail.com</t>
  </si>
  <si>
    <t>João Paulo Bonagurio Ramirez</t>
  </si>
  <si>
    <t>22.01247-8</t>
  </si>
  <si>
    <t>Os Mandantes venceram: 418 oque resulta em 50.98% das vitorias logo foram favorecidos</t>
  </si>
  <si>
    <t>https://colab.research.google.com/drive/1Z12UjSUhIGkiZWGRSqBq72cQI94BsPIG?usp=sharing</t>
  </si>
  <si>
    <t xml:space="preserve">Q15.
Uma métrica comum na avaliação de ativos é verificarmos, em um período, a quantidade de dias em que o ativo teve valorização com relação ao dia anterior (up and down). Considerando todo o período, qual o percentual de ups dos ativos com mais e menos 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</si>
  <si>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</si>
  <si>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</si>
  <si>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</si>
  <si>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</si>
  <si>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</si>
  <si>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</si>
  <si>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</si>
  <si>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</si>
  <si>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</si>
  <si>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</si>
  <si>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</si>
  <si>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</si>
  <si>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</si>
  <si>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</si>
  <si>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71.2</t>
  </si>
  <si>
    <t>Q15</t>
  </si>
  <si>
    <t>Q14_2</t>
  </si>
  <si>
    <t>Q16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</si>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</sst>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6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8"/>
      <name val="Arial"/>
      <scheme val="minor"/>
    </font>
    <font>
      <sz val="10"/>
      <color rgb="FF0070C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166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18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N35">
  <tableColumns count="40">
    <tableColumn id="1" xr3:uid="{00000000-0010-0000-0000-000001000000}" name="Carimbo de data/hora"/>
    <tableColumn id="2" xr3:uid="{00000000-0010-0000-0000-000002000000}" name="Endereço de e-mail"/>
    <tableColumn id="3" xr3:uid="{00000000-0010-0000-0000-000003000000}" name="Nome_x000a_"/>
    <tableColumn id="4" xr3:uid="{00000000-0010-0000-0000-000004000000}" name="RA_x000a_"/>
    <tableColumn id="5" xr3:uid="{00000000-0010-0000-0000-000005000000}" name="Q1._x000a_(NFL) Qual a média de passes completos (pass_cmp) do jogador 'Aaron Rodgers' nos jogos que se encontram na base?_x000a_Resp. 25.8_x000a_"/>
    <tableColumn id="24" xr3:uid="{A253CEEF-868F-4358-8DE7-3BB9D7258D8E}" name="Q1" dataDxfId="17"/>
    <tableColumn id="6" xr3:uid="{00000000-0010-0000-0000-000006000000}" name="Q2._x000a_(NFL) Por quantos times diferentes jogaram 'Phillip Dorsett' e 'Marcus Johnson' no período de jogos que se encontram na base?_x000a_Resp. 5 9_x000a_"/>
    <tableColumn id="25" xr3:uid="{CF162F27-5A73-4680-AE64-5484E87AA105}" name="Q2" dataDxfId="16"/>
    <tableColumn id="7" xr3:uid="{00000000-0010-0000-0000-000007000000}" name="Q3._x000a_(NFL) Quantos jogos estão representados na base?_x000a_Resp. 932_x000a__x000a_"/>
    <tableColumn id="26" xr3:uid="{655EB499-16AE-4EEB-A160-88F0536107A8}" name="Q3" dataDxfId="15"/>
    <tableColumn id="8" xr3:uid="{00000000-0010-0000-0000-000008000000}" name="Q4._x000a_(NFL) O &quot;Bufalo Bulls&quot; (BUF) participou de quantos jogos dentre os jogos na base?_x000a_Resp. 32_x000a__x000a_"/>
    <tableColumn id="27" xr3:uid="{4BBB1231-4F3C-49B0-AFC4-3A87829F6485}" name="Q4" dataDxfId="14"/>
    <tableColumn id="9" xr3:uid="{00000000-0010-0000-0000-000009000000}" name="Q5._x000a_(NFL) Qual time fez mais jogos em casa considerando os jogos da base?_x000a_Resp. BUF_x000a__x000a_"/>
    <tableColumn id="28" xr3:uid="{8EFAA2A7-23A6-4E59-AB81-5266E580D7E7}" name="Q5" dataDxfId="13"/>
    <tableColumn id="10" xr3:uid="{00000000-0010-0000-0000-00000A000000}" name="Q6._x000a_Qual foi o percentual de partidas ganhas pelo &quot;Bufalo Bulls&quot; considerados todos os jogos da base em que participou?_x000a_Resp. 72.3_x000a__x000a_"/>
    <tableColumn id="29" xr3:uid="{F7AF28C8-3403-4B3C-90CB-825F00FD549E}" name="Q6" dataDxfId="12"/>
    <tableColumn id="11" xr3:uid="{00000000-0010-0000-0000-00000B000000}" name="Q7._x000a_(NFL) Que tipo de Superfície nos estádios não são encontradas nos estádios com teto (Roof) do tipo outdoors?_x000a_Resp. [ 'abc', 'xyz', 'kkk' ]_x000a__x000a_"/>
    <tableColumn id="30" xr3:uid="{618E93ED-E357-46EF-92E0-4E539E5E6A0C}" name="Q7" dataDxfId="11"/>
    <tableColumn id="12" xr3:uid="{00000000-0010-0000-0000-00000C000000}" name="Q8._x000a_(NFL) Você pode afirmar, com base nos jogos da base, que os resultados dos jogos (vitórias) favorecem o time &quot;da casa&quot;?_x000a_Resp. Texto_x000a__x000a_"/>
    <tableColumn id="31" xr3:uid="{2FA7983E-1827-4BAF-B8B0-7123D8DA652F}" name="Q8" dataDxfId="10"/>
    <tableColumn id="13" xr3:uid="{00000000-0010-0000-0000-00000D000000}" name="Q9._x000a_Qual a média de consumo do Brasil considerando todos os anos?_x000a_Resp. 7865.9_x000a__x000a_"/>
    <tableColumn id="32" xr3:uid="{78FA9640-0BB6-4A93-9835-188D9B9C940A}" name="Q9" dataDxfId="9"/>
    <tableColumn id="14" xr3:uid="{00000000-0010-0000-0000-00000E000000}" name="Q10._x000a_Quais são os 5 top países consumidores de barris de petróleo no ano de 2024?_x000a_Resp. [ 'noruega', 'india', ... 'brasil' ]_x000a__x000a_"/>
    <tableColumn id="34" xr3:uid="{8B61F708-CD15-4169-9C02-D445DDC8C1F2}" name="Q10" dataDxfId="8"/>
    <tableColumn id="15" xr3:uid="{00000000-0010-0000-0000-00000F000000}" name="Q11._x000a_Qual o percentual do consumo dos 5 top países consumidores de barris de petróleo no ano de 2024 com relação ao total de consumo no mundo no ano de 2024?_x000a_Resp. 58.8_x000a__x000a_"/>
    <tableColumn id="35" xr3:uid="{FFB16704-EE21-46CB-9066-6E63240DBBDD}" name="Q11" dataDxfId="7"/>
    <tableColumn id="16" xr3:uid="{00000000-0010-0000-0000-000010000000}" name="Q12._x000a_(European Energy) Quantos países há na base?_x000a_Resp. 97_x000a__x000a_"/>
    <tableColumn id="36" xr3:uid="{6E89F184-DA30-4128-B79B-BBAC417C9BE6}" name="Q12" dataDxfId="6"/>
    <tableColumn id="17" xr3:uid="{00000000-0010-0000-0000-000011000000}" name="Q13._x000a_(European Energy) Qual percentual de energia nuclear produzida na Europa no ano de 2018?_x000a_Resp. 25.8_x000a__x000a_"/>
    <tableColumn id="37" xr3:uid="{0C69641E-660A-4E34-AD56-B1E7BC212F75}" name="Q13" dataDxfId="5"/>
    <tableColumn id="18" xr3:uid="{00000000-0010-0000-0000-000012000000}" name="Q14._x000a_(European Energy) Qual o percentual da energia da França que vem de energia nuclear no ano de 2018?_x000a_Resp. 75.8_x000a__x000a_"/>
    <tableColumn id="38" xr3:uid="{66DAAC83-26C9-4367-B9CE-54B99957DFA6}" name="Q14" dataDxfId="4"/>
    <tableColumn id="19" xr3:uid="{00000000-0010-0000-0000-000013000000}" name="Q14._x000a_Considerando todo o período, qual a valorização dos ativos de maior e menor ganho percentual?_x000a_Resp. 45.8 400.1_x000a_"/>
    <tableColumn id="40" xr3:uid="{EC7AC782-5E5B-4383-A9D1-9FFDA1AE584E}" name="Q14_2" dataDxfId="3"/>
    <tableColumn id="20" xr3:uid="{00000000-0010-0000-0000-000014000000}" name="Q15._x000a_Uma métrica comum na avaliação de ativos é verificarmos, em um período, a quantidade de dias em que o ativo teve valorização com relação ao dia anterior (up and down). Considerando todo o período, qual o percentual de ups dos ativos com mais e menos "/>
    <tableColumn id="41" xr3:uid="{E162717D-8722-473D-A6E9-E3A91B60184B}" name="Q15" dataDxfId="2"/>
    <tableColumn id="21" xr3:uid="{00000000-0010-0000-0000-000015000000}" name="Q16._x000a_A MAIOR PARTE dos ativos da base teve sua maior valorização em um único dia no mesmo ano e mês. Qual foi esse ano-mês especial?_x000a_Resp. Texto_x000a_"/>
    <tableColumn id="42" xr3:uid="{5EB0E052-FBBE-4F2D-9DAB-09F081022F0E}" name="Q16" dataDxfId="1"/>
    <tableColumn id="43" xr3:uid="{1A83C1E4-303B-45D6-9E14-CAF69DBABDDA}" name="Nota" dataDxfId="0">
      <calculatedColumnFormula>_xlfn.CEILING.MATH(SUM(F2,H2,J2,L2,N2,P2,R2,T2,V2,X2,Z2,AB2,AD2,AF2,AH2,AJ2,AL2)/17*10,1)</calculatedColumnFormula>
    </tableColumn>
    <tableColumn id="22" xr3:uid="{00000000-0010-0000-0000-000016000000}" name="Poste aqui o link do seu notebook Colab compartilhado como público. _x000a__x000a_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lab.research.google.com/drive/1yv7VXnGBaJ-VgH5wzcRUl_7WTWCk6uuH?usp=sharing" TargetMode="External"/><Relationship Id="rId18" Type="http://schemas.openxmlformats.org/officeDocument/2006/relationships/hyperlink" Target="https://colab.research.google.com/drive/1k6miAypraB6DTZcthd2ZYWX658Xx4qWv" TargetMode="External"/><Relationship Id="rId26" Type="http://schemas.openxmlformats.org/officeDocument/2006/relationships/hyperlink" Target="https://colab.research.google.com/drive/1M5HVBiLVOed64Oa18HQgXgljJzozbTrO?usp=sharing" TargetMode="External"/><Relationship Id="rId3" Type="http://schemas.openxmlformats.org/officeDocument/2006/relationships/hyperlink" Target="https://colab.research.google.com/drive/12ec72H0zy94HBF-gAOUNMziS1vj8p5Uh?usp=sharing" TargetMode="External"/><Relationship Id="rId21" Type="http://schemas.openxmlformats.org/officeDocument/2006/relationships/hyperlink" Target="https://colab.research.google.com/drive/1ZOLC_MwRuNStafqhSpyj-gLaW5_U0qU-?usp=sharing" TargetMode="External"/><Relationship Id="rId34" Type="http://schemas.openxmlformats.org/officeDocument/2006/relationships/hyperlink" Target="https://colab.research.google.com/drive/1Z12UjSUhIGkiZWGRSqBq72cQI94BsPIG?usp=sharing" TargetMode="External"/><Relationship Id="rId7" Type="http://schemas.openxmlformats.org/officeDocument/2006/relationships/hyperlink" Target="https://colab.research.google.com/drive/1FdDs8_DhLUgtGLPWLsz06cCjqTFZJq7m?usp=sharing" TargetMode="External"/><Relationship Id="rId12" Type="http://schemas.openxmlformats.org/officeDocument/2006/relationships/hyperlink" Target="https://colab.research.google.com/drive/1CaQTnHZ9VLIRPIveenPtzoq-o4mqtXEp?usp=sharing" TargetMode="External"/><Relationship Id="rId17" Type="http://schemas.openxmlformats.org/officeDocument/2006/relationships/hyperlink" Target="https://drive.google.com/file/d/1fUfyDhsx9dKHjWW-HSlCuu2_tOvn_1Lc/view?usp=sharing" TargetMode="External"/><Relationship Id="rId25" Type="http://schemas.openxmlformats.org/officeDocument/2006/relationships/hyperlink" Target="https://colab.research.google.com/drive/1_X2ianUbQAZsvmLF6rmxDN6JQxOlYoM7?usp=sharing" TargetMode="External"/><Relationship Id="rId33" Type="http://schemas.openxmlformats.org/officeDocument/2006/relationships/hyperlink" Target="https://colab.research.google.com/drive/1GLXxhwcYUwiTTDMjGpbhVP2O73HV62AQ?usp=sharing" TargetMode="External"/><Relationship Id="rId2" Type="http://schemas.openxmlformats.org/officeDocument/2006/relationships/hyperlink" Target="https://colab.research.google.com/drive/1lOG5IRnNDAlwqKLeLJwqRF_WLOkIYguQ?usp=sharing" TargetMode="External"/><Relationship Id="rId16" Type="http://schemas.openxmlformats.org/officeDocument/2006/relationships/hyperlink" Target="https://colab.research.google.com/drive/159jeoZl1mBI22jxxiqWxj_dxBsYZWp4f?usp=sharing" TargetMode="External"/><Relationship Id="rId20" Type="http://schemas.openxmlformats.org/officeDocument/2006/relationships/hyperlink" Target="https://colab.research.google.com/drive/1h1zC7cczxKToqSE6Y3jpUPHTNU6G0Qiq" TargetMode="External"/><Relationship Id="rId29" Type="http://schemas.openxmlformats.org/officeDocument/2006/relationships/hyperlink" Target="https://colab.research.google.com/drive/1W2nzA9AyrnQZ2xcU-DQq28iN4zv3MORN?usp=sharing" TargetMode="External"/><Relationship Id="rId1" Type="http://schemas.openxmlformats.org/officeDocument/2006/relationships/hyperlink" Target="https://colab.research.google.com/drive/1BfxWQNPl-JzzTJB0SxVTQmVAml3J2NGg?usp=sharing" TargetMode="External"/><Relationship Id="rId6" Type="http://schemas.openxmlformats.org/officeDocument/2006/relationships/hyperlink" Target="https://colab.research.google.com/drive/1rIRTgaimzMTIvmwlqyGBQtj04oGSR3Im" TargetMode="External"/><Relationship Id="rId11" Type="http://schemas.openxmlformats.org/officeDocument/2006/relationships/hyperlink" Target="https://colab.research.google.com/drive/1FT9FujDffaEun602DnZ8klB2m3xvQJVg?usp=sharing" TargetMode="External"/><Relationship Id="rId24" Type="http://schemas.openxmlformats.org/officeDocument/2006/relationships/hyperlink" Target="https://colab.research.google.com/drive/1w5kBB6XieMUsCgXta08Htnva-kDLdXoJ?usp=sharing" TargetMode="External"/><Relationship Id="rId32" Type="http://schemas.openxmlformats.org/officeDocument/2006/relationships/hyperlink" Target="https://colab.research.google.com/drive/1feVCTyJEfvc32A18RXDFq3FLi_H3aZM5?usp=sharing" TargetMode="External"/><Relationship Id="rId5" Type="http://schemas.openxmlformats.org/officeDocument/2006/relationships/hyperlink" Target="https://colab.research.google.com/drive/10nJcshlYYShSUgWJ5IcbifHXMy1ZIn6H?usp=sharing" TargetMode="External"/><Relationship Id="rId15" Type="http://schemas.openxmlformats.org/officeDocument/2006/relationships/hyperlink" Target="https://colab.research.google.com/drive/1jCuRMtET1U5213ExE-hJk0wIAiXCyD65?usp=sharing" TargetMode="External"/><Relationship Id="rId23" Type="http://schemas.openxmlformats.org/officeDocument/2006/relationships/hyperlink" Target="https://colab.research.google.com/drive/1gPIzjnp9-jPC7IB0mbmZ99OSfkDrMH1u?usp=sharing" TargetMode="External"/><Relationship Id="rId28" Type="http://schemas.openxmlformats.org/officeDocument/2006/relationships/hyperlink" Target="https://colab.research.google.com/drive/1nd640IiJ-1ENjSbptZ3p7zDXXOUiCaza?usp=sharing" TargetMode="External"/><Relationship Id="rId10" Type="http://schemas.openxmlformats.org/officeDocument/2006/relationships/hyperlink" Target="https://colab.research.google.com/drive/1RObasXUr6__5qY68HNR9m3MXQ_hf1TDO?usp=sharing" TargetMode="External"/><Relationship Id="rId19" Type="http://schemas.openxmlformats.org/officeDocument/2006/relationships/hyperlink" Target="https://colab.research.google.com/drive/1Dv3AdOffvXeMKJvRVerdDFwGHvHqyq0y?usp=sharing" TargetMode="External"/><Relationship Id="rId31" Type="http://schemas.openxmlformats.org/officeDocument/2006/relationships/hyperlink" Target="https://colab.research.google.com/drive/1ABsai6yQBAE9-xxLAgsBwzXynxJA4A6S?usp=sharing" TargetMode="External"/><Relationship Id="rId4" Type="http://schemas.openxmlformats.org/officeDocument/2006/relationships/hyperlink" Target="https://colab.research.google.com/drive/14Ar_3dSEBMYYXRoZxjcUONGr4KfoEfsy?usp=sharing" TargetMode="External"/><Relationship Id="rId9" Type="http://schemas.openxmlformats.org/officeDocument/2006/relationships/hyperlink" Target="https://colab.research.google.com/drive/14K_vXZjpRjKNQQqLg_dH8KNP6LuRDh2G?usp=sharing" TargetMode="External"/><Relationship Id="rId14" Type="http://schemas.openxmlformats.org/officeDocument/2006/relationships/hyperlink" Target="https://colab.research.google.com/drive/10K9aZw8JFaLYDUj7JkyGztUkfJiPtJxY?usp=sharing" TargetMode="External"/><Relationship Id="rId22" Type="http://schemas.openxmlformats.org/officeDocument/2006/relationships/hyperlink" Target="https://colab.research.google.com/drive/1lr-y1aNYB5ab3Vr1_4rkZ9crce4wseS1?usp=sharing" TargetMode="External"/><Relationship Id="rId27" Type="http://schemas.openxmlformats.org/officeDocument/2006/relationships/hyperlink" Target="https://colab.research.google.com/drive/1mNEEUuUP4ywAmHJUKJZpRXyVc79sury-?usp=sharing" TargetMode="External"/><Relationship Id="rId30" Type="http://schemas.openxmlformats.org/officeDocument/2006/relationships/hyperlink" Target="https://colab.research.google.com/drive/1JImOfAhFPeai8ZOAizsS6tf-cFVzk--Y?usp=sharing" TargetMode="External"/><Relationship Id="rId35" Type="http://schemas.openxmlformats.org/officeDocument/2006/relationships/table" Target="../tables/table1.xml"/><Relationship Id="rId8" Type="http://schemas.openxmlformats.org/officeDocument/2006/relationships/hyperlink" Target="https://colab.research.google.com/drive/14NKnanCPnVISX4j9wz0Kz8hf5IE1cn5u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35"/>
  <sheetViews>
    <sheetView tabSelected="1" workbookViewId="0">
      <pane ySplit="1" topLeftCell="A2" activePane="bottomLeft" state="frozen"/>
      <selection pane="bottomLeft" activeCell="AL1" sqref="B1:AL1048576"/>
    </sheetView>
  </sheetViews>
  <sheetFormatPr defaultColWidth="12.5703125" defaultRowHeight="15.75" customHeight="1" x14ac:dyDescent="0.2"/>
  <cols>
    <col min="1" max="1" width="21.28515625" customWidth="1"/>
    <col min="2" max="2" width="19.28515625" customWidth="1"/>
    <col min="3" max="3" width="18.85546875" customWidth="1"/>
    <col min="4" max="4" width="13.28515625" customWidth="1"/>
    <col min="5" max="5" width="5.42578125" customWidth="1"/>
    <col min="6" max="6" width="5.42578125" style="10" customWidth="1"/>
    <col min="7" max="7" width="6.28515625" customWidth="1"/>
    <col min="8" max="8" width="6.28515625" style="10" customWidth="1"/>
    <col min="9" max="9" width="6.42578125" customWidth="1"/>
    <col min="10" max="10" width="6.42578125" style="10" customWidth="1"/>
    <col min="11" max="11" width="5.42578125" customWidth="1"/>
    <col min="12" max="12" width="5.42578125" style="10" customWidth="1"/>
    <col min="13" max="13" width="6.85546875" customWidth="1"/>
    <col min="14" max="14" width="6.85546875" style="10" customWidth="1"/>
    <col min="15" max="15" width="7.28515625" customWidth="1"/>
    <col min="16" max="16" width="7.28515625" style="10" customWidth="1"/>
    <col min="17" max="17" width="22.5703125" customWidth="1"/>
    <col min="18" max="18" width="10.5703125" style="10" customWidth="1"/>
    <col min="19" max="19" width="10.7109375" customWidth="1"/>
    <col min="20" max="20" width="10.7109375" style="10" customWidth="1"/>
    <col min="21" max="21" width="9.140625" customWidth="1"/>
    <col min="22" max="22" width="9.140625" style="10" customWidth="1"/>
    <col min="23" max="23" width="59.28515625" customWidth="1"/>
    <col min="24" max="24" width="11.85546875" style="10" customWidth="1"/>
    <col min="25" max="25" width="8.140625" customWidth="1"/>
    <col min="26" max="26" width="8.140625" style="12" customWidth="1"/>
    <col min="27" max="27" width="7.7109375" customWidth="1"/>
    <col min="28" max="28" width="7.7109375" style="10" customWidth="1"/>
    <col min="29" max="29" width="8.85546875" customWidth="1"/>
    <col min="30" max="30" width="8.85546875" style="12" customWidth="1"/>
    <col min="31" max="31" width="10.7109375" customWidth="1"/>
    <col min="32" max="32" width="10.7109375" style="12" customWidth="1"/>
    <col min="33" max="33" width="15.7109375" customWidth="1"/>
    <col min="34" max="34" width="15.7109375" style="10" customWidth="1"/>
    <col min="35" max="35" width="21.5703125" customWidth="1"/>
    <col min="36" max="36" width="13.42578125" style="10" customWidth="1"/>
    <col min="37" max="37" width="32.140625" customWidth="1"/>
    <col min="38" max="39" width="8.5703125" style="10" customWidth="1"/>
    <col min="40" max="40" width="37.5703125" customWidth="1"/>
    <col min="41" max="46" width="18.85546875" customWidth="1"/>
  </cols>
  <sheetData>
    <row r="1" spans="1:4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282</v>
      </c>
      <c r="G1" s="1" t="s">
        <v>5</v>
      </c>
      <c r="H1" s="8" t="s">
        <v>283</v>
      </c>
      <c r="I1" s="1" t="s">
        <v>6</v>
      </c>
      <c r="J1" s="8" t="s">
        <v>284</v>
      </c>
      <c r="K1" s="1" t="s">
        <v>7</v>
      </c>
      <c r="L1" s="8" t="s">
        <v>285</v>
      </c>
      <c r="M1" s="1" t="s">
        <v>8</v>
      </c>
      <c r="N1" s="8" t="s">
        <v>286</v>
      </c>
      <c r="O1" s="1" t="s">
        <v>9</v>
      </c>
      <c r="P1" s="8" t="s">
        <v>287</v>
      </c>
      <c r="Q1" s="1" t="s">
        <v>10</v>
      </c>
      <c r="R1" s="8" t="s">
        <v>288</v>
      </c>
      <c r="S1" s="1" t="s">
        <v>11</v>
      </c>
      <c r="T1" s="8" t="s">
        <v>289</v>
      </c>
      <c r="U1" s="1" t="s">
        <v>12</v>
      </c>
      <c r="V1" s="8" t="s">
        <v>290</v>
      </c>
      <c r="W1" s="1" t="s">
        <v>13</v>
      </c>
      <c r="X1" s="8" t="s">
        <v>291</v>
      </c>
      <c r="Y1" s="1" t="s">
        <v>14</v>
      </c>
      <c r="Z1" s="11" t="s">
        <v>292</v>
      </c>
      <c r="AA1" s="1" t="s">
        <v>15</v>
      </c>
      <c r="AB1" s="8" t="s">
        <v>293</v>
      </c>
      <c r="AC1" s="1" t="s">
        <v>16</v>
      </c>
      <c r="AD1" s="11" t="s">
        <v>294</v>
      </c>
      <c r="AE1" s="1" t="s">
        <v>17</v>
      </c>
      <c r="AF1" s="11" t="s">
        <v>295</v>
      </c>
      <c r="AG1" s="1" t="s">
        <v>18</v>
      </c>
      <c r="AH1" s="8" t="s">
        <v>298</v>
      </c>
      <c r="AI1" s="7" t="s">
        <v>281</v>
      </c>
      <c r="AJ1" s="14" t="s">
        <v>297</v>
      </c>
      <c r="AK1" s="1" t="s">
        <v>19</v>
      </c>
      <c r="AL1" s="16" t="s">
        <v>299</v>
      </c>
      <c r="AM1" s="17" t="s">
        <v>300</v>
      </c>
      <c r="AN1" s="1" t="s">
        <v>20</v>
      </c>
    </row>
    <row r="2" spans="1:40" ht="22.5" customHeight="1" x14ac:dyDescent="0.2">
      <c r="A2" s="2">
        <v>46101.748200347225</v>
      </c>
      <c r="B2" s="3" t="s">
        <v>21</v>
      </c>
      <c r="C2" s="3" t="s">
        <v>22</v>
      </c>
      <c r="D2" s="3" t="s">
        <v>23</v>
      </c>
      <c r="E2" s="5" t="s">
        <v>36</v>
      </c>
      <c r="F2" s="9">
        <v>1</v>
      </c>
      <c r="G2" s="5" t="s">
        <v>24</v>
      </c>
      <c r="H2" s="9">
        <v>1</v>
      </c>
      <c r="I2" s="3">
        <v>820</v>
      </c>
      <c r="J2" s="8">
        <v>1</v>
      </c>
      <c r="K2" s="3">
        <v>55</v>
      </c>
      <c r="L2" s="8">
        <v>1</v>
      </c>
      <c r="M2" s="3" t="s">
        <v>25</v>
      </c>
      <c r="N2" s="8">
        <v>1</v>
      </c>
      <c r="O2" s="3" t="s">
        <v>37</v>
      </c>
      <c r="P2" s="8">
        <v>1</v>
      </c>
      <c r="Q2" s="3" t="s">
        <v>26</v>
      </c>
      <c r="R2" s="8">
        <v>1</v>
      </c>
      <c r="S2" s="3" t="s">
        <v>27</v>
      </c>
      <c r="T2" s="8">
        <v>0</v>
      </c>
      <c r="U2" s="5" t="s">
        <v>39</v>
      </c>
      <c r="V2" s="9">
        <v>0</v>
      </c>
      <c r="W2" s="3" t="s">
        <v>28</v>
      </c>
      <c r="X2" s="8">
        <v>1</v>
      </c>
      <c r="Y2" s="3" t="s">
        <v>40</v>
      </c>
      <c r="Z2" s="13">
        <v>1</v>
      </c>
      <c r="AA2" s="3">
        <v>37</v>
      </c>
      <c r="AB2" s="8">
        <v>1</v>
      </c>
      <c r="AC2" s="5" t="s">
        <v>36</v>
      </c>
      <c r="AD2" s="13">
        <v>1</v>
      </c>
      <c r="AE2" s="3" t="s">
        <v>41</v>
      </c>
      <c r="AF2" s="13">
        <v>1</v>
      </c>
      <c r="AG2" s="3" t="s">
        <v>29</v>
      </c>
      <c r="AH2" s="8">
        <v>0</v>
      </c>
      <c r="AI2" s="3" t="s">
        <v>30</v>
      </c>
      <c r="AJ2" s="8">
        <v>0</v>
      </c>
      <c r="AK2" s="3" t="s">
        <v>31</v>
      </c>
      <c r="AL2" s="8">
        <v>1</v>
      </c>
      <c r="AM2" s="18">
        <f>_xlfn.CEILING.MATH(SUM(F2,H2,J2,L2,N2,P2,R2,T2,V2,X2,Z2,AB2,AD2,AF2,AH2,AJ2,AL2)/17*10,1)</f>
        <v>8</v>
      </c>
      <c r="AN2" s="6" t="s">
        <v>32</v>
      </c>
    </row>
    <row r="3" spans="1:40" ht="22.5" customHeight="1" x14ac:dyDescent="0.2">
      <c r="A3" s="2">
        <v>46101.748544988426</v>
      </c>
      <c r="B3" s="3" t="s">
        <v>33</v>
      </c>
      <c r="C3" s="3" t="s">
        <v>34</v>
      </c>
      <c r="D3" s="3" t="s">
        <v>35</v>
      </c>
      <c r="E3" s="5" t="s">
        <v>36</v>
      </c>
      <c r="F3" s="9">
        <v>1</v>
      </c>
      <c r="G3" s="5" t="s">
        <v>24</v>
      </c>
      <c r="H3" s="9">
        <v>1</v>
      </c>
      <c r="I3" s="3">
        <v>820</v>
      </c>
      <c r="J3" s="8">
        <v>1</v>
      </c>
      <c r="K3" s="3">
        <v>55</v>
      </c>
      <c r="L3" s="8">
        <v>1</v>
      </c>
      <c r="M3" s="3" t="s">
        <v>25</v>
      </c>
      <c r="N3" s="8">
        <v>1</v>
      </c>
      <c r="O3" s="3" t="s">
        <v>37</v>
      </c>
      <c r="P3" s="8">
        <v>1</v>
      </c>
      <c r="Q3" s="3" t="s">
        <v>26</v>
      </c>
      <c r="R3" s="8">
        <v>1</v>
      </c>
      <c r="S3" s="3" t="s">
        <v>38</v>
      </c>
      <c r="T3" s="8">
        <v>0</v>
      </c>
      <c r="U3" s="5" t="s">
        <v>39</v>
      </c>
      <c r="V3" s="9">
        <v>0</v>
      </c>
      <c r="W3" s="3" t="s">
        <v>28</v>
      </c>
      <c r="X3" s="8">
        <v>1</v>
      </c>
      <c r="Y3" s="3" t="s">
        <v>40</v>
      </c>
      <c r="Z3" s="13">
        <v>1</v>
      </c>
      <c r="AA3" s="3">
        <v>37</v>
      </c>
      <c r="AB3" s="8">
        <v>1</v>
      </c>
      <c r="AC3" s="5" t="s">
        <v>36</v>
      </c>
      <c r="AD3" s="13">
        <v>1</v>
      </c>
      <c r="AE3" s="3" t="s">
        <v>41</v>
      </c>
      <c r="AF3" s="13">
        <v>1</v>
      </c>
      <c r="AG3" s="3" t="s">
        <v>42</v>
      </c>
      <c r="AH3" s="8">
        <v>0</v>
      </c>
      <c r="AI3" s="3" t="s">
        <v>43</v>
      </c>
      <c r="AJ3" s="8">
        <v>0</v>
      </c>
      <c r="AK3" s="3" t="s">
        <v>44</v>
      </c>
      <c r="AL3" s="8">
        <v>1</v>
      </c>
      <c r="AM3" s="18">
        <f t="shared" ref="AM2:AM35" si="0">_xlfn.CEILING.MATH(SUM(F3,H3,J3,L3,N3,P3,R3,T3,V3,X3,Z3,AB3,AD3,AF3,AH3,AJ3,AL3)/17*10,1)</f>
        <v>8</v>
      </c>
      <c r="AN3" s="6" t="s">
        <v>45</v>
      </c>
    </row>
    <row r="4" spans="1:40" ht="22.5" customHeight="1" x14ac:dyDescent="0.2">
      <c r="A4" s="2">
        <v>46101.757035092596</v>
      </c>
      <c r="B4" s="3" t="s">
        <v>46</v>
      </c>
      <c r="C4" s="3" t="s">
        <v>47</v>
      </c>
      <c r="D4" s="3" t="s">
        <v>48</v>
      </c>
      <c r="E4" s="5" t="s">
        <v>36</v>
      </c>
      <c r="F4" s="9">
        <v>1</v>
      </c>
      <c r="G4" s="5" t="s">
        <v>24</v>
      </c>
      <c r="H4" s="9">
        <v>1</v>
      </c>
      <c r="I4" s="3">
        <v>820</v>
      </c>
      <c r="J4" s="8">
        <v>1</v>
      </c>
      <c r="K4" s="3">
        <v>55</v>
      </c>
      <c r="L4" s="8">
        <v>1</v>
      </c>
      <c r="M4" s="3" t="s">
        <v>25</v>
      </c>
      <c r="N4" s="8">
        <v>1</v>
      </c>
      <c r="O4" s="3" t="s">
        <v>49</v>
      </c>
      <c r="P4" s="8">
        <v>1</v>
      </c>
      <c r="Q4" s="3" t="s">
        <v>26</v>
      </c>
      <c r="R4" s="8">
        <v>1</v>
      </c>
      <c r="S4" s="3" t="s">
        <v>50</v>
      </c>
      <c r="T4" s="8">
        <v>0</v>
      </c>
      <c r="U4" s="5" t="s">
        <v>39</v>
      </c>
      <c r="V4" s="9">
        <v>0</v>
      </c>
      <c r="W4" s="3" t="s">
        <v>28</v>
      </c>
      <c r="X4" s="8">
        <v>1</v>
      </c>
      <c r="Y4" s="3" t="s">
        <v>40</v>
      </c>
      <c r="Z4" s="13">
        <v>1</v>
      </c>
      <c r="AA4" s="3">
        <v>37</v>
      </c>
      <c r="AB4" s="8">
        <v>1</v>
      </c>
      <c r="AC4" s="5" t="s">
        <v>36</v>
      </c>
      <c r="AD4" s="13">
        <v>1</v>
      </c>
      <c r="AE4" s="3" t="s">
        <v>41</v>
      </c>
      <c r="AF4" s="13">
        <v>1</v>
      </c>
      <c r="AG4" s="3" t="s">
        <v>51</v>
      </c>
      <c r="AH4" s="8">
        <v>0</v>
      </c>
      <c r="AI4" s="3" t="s">
        <v>52</v>
      </c>
      <c r="AJ4" s="8">
        <v>0</v>
      </c>
      <c r="AK4" s="3" t="s">
        <v>53</v>
      </c>
      <c r="AL4" s="8">
        <v>1</v>
      </c>
      <c r="AM4" s="18">
        <f t="shared" si="0"/>
        <v>8</v>
      </c>
      <c r="AN4" s="6" t="s">
        <v>54</v>
      </c>
    </row>
    <row r="5" spans="1:40" ht="22.5" customHeight="1" x14ac:dyDescent="0.2">
      <c r="A5" s="2">
        <v>46101.764988252311</v>
      </c>
      <c r="B5" s="3" t="s">
        <v>55</v>
      </c>
      <c r="C5" s="3" t="s">
        <v>56</v>
      </c>
      <c r="D5" s="3" t="s">
        <v>57</v>
      </c>
      <c r="E5" s="3" t="s">
        <v>58</v>
      </c>
      <c r="F5" s="9">
        <v>1</v>
      </c>
      <c r="G5" s="5" t="s">
        <v>24</v>
      </c>
      <c r="H5" s="9">
        <v>1</v>
      </c>
      <c r="I5" s="3">
        <v>820</v>
      </c>
      <c r="J5" s="8">
        <v>1</v>
      </c>
      <c r="K5" s="3">
        <v>55</v>
      </c>
      <c r="L5" s="8">
        <v>1</v>
      </c>
      <c r="M5" s="3" t="s">
        <v>25</v>
      </c>
      <c r="N5" s="8">
        <v>1</v>
      </c>
      <c r="O5" s="3" t="s">
        <v>59</v>
      </c>
      <c r="P5" s="8">
        <v>1</v>
      </c>
      <c r="Q5" s="3" t="s">
        <v>60</v>
      </c>
      <c r="R5" s="8">
        <v>1</v>
      </c>
      <c r="S5" s="3" t="s">
        <v>61</v>
      </c>
      <c r="T5" s="8">
        <v>1</v>
      </c>
      <c r="U5" s="3" t="s">
        <v>62</v>
      </c>
      <c r="V5" s="9">
        <v>1</v>
      </c>
      <c r="W5" s="3" t="s">
        <v>28</v>
      </c>
      <c r="X5" s="8">
        <v>1</v>
      </c>
      <c r="Y5" s="3" t="s">
        <v>63</v>
      </c>
      <c r="Z5" s="13">
        <v>1</v>
      </c>
      <c r="AA5" s="3">
        <v>37</v>
      </c>
      <c r="AB5" s="8">
        <v>1</v>
      </c>
      <c r="AC5" s="3" t="s">
        <v>64</v>
      </c>
      <c r="AD5" s="13">
        <v>1</v>
      </c>
      <c r="AE5" s="3" t="s">
        <v>65</v>
      </c>
      <c r="AF5" s="13">
        <v>1</v>
      </c>
      <c r="AG5" s="3" t="s">
        <v>66</v>
      </c>
      <c r="AH5" s="8">
        <v>0</v>
      </c>
      <c r="AI5" s="3" t="s">
        <v>43</v>
      </c>
      <c r="AJ5" s="8">
        <v>0</v>
      </c>
      <c r="AK5" s="3" t="s">
        <v>67</v>
      </c>
      <c r="AL5" s="8">
        <v>1</v>
      </c>
      <c r="AM5" s="18">
        <f t="shared" si="0"/>
        <v>9</v>
      </c>
      <c r="AN5" s="6" t="s">
        <v>68</v>
      </c>
    </row>
    <row r="6" spans="1:40" ht="22.5" customHeight="1" x14ac:dyDescent="0.2">
      <c r="A6" s="2">
        <v>46101.765972557871</v>
      </c>
      <c r="B6" s="3" t="s">
        <v>69</v>
      </c>
      <c r="C6" s="3" t="s">
        <v>70</v>
      </c>
      <c r="D6" s="3" t="s">
        <v>71</v>
      </c>
      <c r="E6" s="5" t="s">
        <v>36</v>
      </c>
      <c r="F6" s="9">
        <v>1</v>
      </c>
      <c r="G6" s="5" t="s">
        <v>72</v>
      </c>
      <c r="H6" s="9">
        <v>1</v>
      </c>
      <c r="I6" s="3">
        <v>820</v>
      </c>
      <c r="J6" s="8">
        <v>1</v>
      </c>
      <c r="K6" s="3">
        <v>55</v>
      </c>
      <c r="L6" s="8">
        <v>1</v>
      </c>
      <c r="M6" s="3" t="s">
        <v>25</v>
      </c>
      <c r="N6" s="8">
        <v>1</v>
      </c>
      <c r="O6" s="3" t="s">
        <v>37</v>
      </c>
      <c r="P6" s="8">
        <v>1</v>
      </c>
      <c r="Q6" s="3" t="s">
        <v>26</v>
      </c>
      <c r="R6" s="8">
        <v>1</v>
      </c>
      <c r="S6" s="3" t="s">
        <v>73</v>
      </c>
      <c r="T6" s="8">
        <v>0</v>
      </c>
      <c r="U6" s="5" t="s">
        <v>39</v>
      </c>
      <c r="V6" s="9">
        <v>0</v>
      </c>
      <c r="W6" s="3" t="s">
        <v>28</v>
      </c>
      <c r="X6" s="8">
        <v>1</v>
      </c>
      <c r="Y6" s="3" t="s">
        <v>40</v>
      </c>
      <c r="Z6" s="13">
        <v>1</v>
      </c>
      <c r="AA6" s="3">
        <v>37</v>
      </c>
      <c r="AB6" s="8">
        <v>1</v>
      </c>
      <c r="AC6" s="5" t="s">
        <v>36</v>
      </c>
      <c r="AD6" s="13">
        <v>1</v>
      </c>
      <c r="AE6" s="5" t="s">
        <v>74</v>
      </c>
      <c r="AF6" s="13">
        <v>0</v>
      </c>
      <c r="AG6" s="3" t="s">
        <v>75</v>
      </c>
      <c r="AH6" s="8">
        <v>1</v>
      </c>
      <c r="AI6" s="3" t="s">
        <v>76</v>
      </c>
      <c r="AJ6" s="8">
        <v>0</v>
      </c>
      <c r="AK6" s="5" t="s">
        <v>77</v>
      </c>
      <c r="AL6" s="8">
        <v>1</v>
      </c>
      <c r="AM6" s="18">
        <f t="shared" si="0"/>
        <v>8</v>
      </c>
      <c r="AN6" s="6" t="s">
        <v>78</v>
      </c>
    </row>
    <row r="7" spans="1:40" ht="22.5" customHeight="1" x14ac:dyDescent="0.2">
      <c r="A7" s="2">
        <v>46101.766815902782</v>
      </c>
      <c r="B7" s="3" t="s">
        <v>79</v>
      </c>
      <c r="C7" s="3" t="s">
        <v>80</v>
      </c>
      <c r="D7" s="3" t="s">
        <v>81</v>
      </c>
      <c r="E7" s="5" t="s">
        <v>36</v>
      </c>
      <c r="F7" s="9">
        <v>1</v>
      </c>
      <c r="G7" s="5" t="s">
        <v>24</v>
      </c>
      <c r="H7" s="9">
        <v>1</v>
      </c>
      <c r="I7" s="3">
        <v>820</v>
      </c>
      <c r="J7" s="8">
        <v>1</v>
      </c>
      <c r="K7" s="3">
        <v>55</v>
      </c>
      <c r="L7" s="8">
        <v>1</v>
      </c>
      <c r="M7" s="3" t="s">
        <v>25</v>
      </c>
      <c r="N7" s="8">
        <v>1</v>
      </c>
      <c r="O7" s="3" t="s">
        <v>82</v>
      </c>
      <c r="P7" s="8">
        <v>1</v>
      </c>
      <c r="Q7" s="3" t="s">
        <v>26</v>
      </c>
      <c r="R7" s="8">
        <v>1</v>
      </c>
      <c r="S7" s="3" t="s">
        <v>73</v>
      </c>
      <c r="T7" s="8">
        <v>0</v>
      </c>
      <c r="U7" s="5" t="s">
        <v>39</v>
      </c>
      <c r="V7" s="9">
        <v>0</v>
      </c>
      <c r="W7" s="3" t="s">
        <v>28</v>
      </c>
      <c r="X7" s="8">
        <v>1</v>
      </c>
      <c r="Y7" s="3" t="s">
        <v>40</v>
      </c>
      <c r="Z7" s="13">
        <v>1</v>
      </c>
      <c r="AA7" s="3">
        <v>37</v>
      </c>
      <c r="AB7" s="8">
        <v>1</v>
      </c>
      <c r="AC7" s="5" t="s">
        <v>36</v>
      </c>
      <c r="AD7" s="13">
        <v>1</v>
      </c>
      <c r="AE7" s="5" t="s">
        <v>83</v>
      </c>
      <c r="AF7" s="13">
        <v>0</v>
      </c>
      <c r="AG7" s="3" t="s">
        <v>75</v>
      </c>
      <c r="AH7" s="8">
        <v>1</v>
      </c>
      <c r="AI7" s="3" t="s">
        <v>52</v>
      </c>
      <c r="AJ7" s="8">
        <v>0</v>
      </c>
      <c r="AK7" s="5" t="s">
        <v>77</v>
      </c>
      <c r="AL7" s="8">
        <v>1</v>
      </c>
      <c r="AM7" s="18">
        <f t="shared" si="0"/>
        <v>8</v>
      </c>
      <c r="AN7" s="6" t="s">
        <v>84</v>
      </c>
    </row>
    <row r="8" spans="1:40" ht="22.5" customHeight="1" x14ac:dyDescent="0.2">
      <c r="A8" s="2">
        <v>46101.767197187495</v>
      </c>
      <c r="B8" s="3" t="s">
        <v>85</v>
      </c>
      <c r="C8" s="3" t="s">
        <v>86</v>
      </c>
      <c r="D8" s="3" t="s">
        <v>87</v>
      </c>
      <c r="E8" s="5" t="s">
        <v>36</v>
      </c>
      <c r="F8" s="9">
        <v>1</v>
      </c>
      <c r="G8" s="5" t="s">
        <v>24</v>
      </c>
      <c r="H8" s="9">
        <v>1</v>
      </c>
      <c r="I8" s="3">
        <v>820</v>
      </c>
      <c r="J8" s="8">
        <v>1</v>
      </c>
      <c r="K8" s="3">
        <v>55</v>
      </c>
      <c r="L8" s="8">
        <v>1</v>
      </c>
      <c r="M8" s="3" t="s">
        <v>25</v>
      </c>
      <c r="N8" s="8">
        <v>1</v>
      </c>
      <c r="O8" s="3" t="s">
        <v>49</v>
      </c>
      <c r="P8" s="8">
        <v>1</v>
      </c>
      <c r="Q8" s="3" t="s">
        <v>60</v>
      </c>
      <c r="R8" s="8">
        <v>1</v>
      </c>
      <c r="S8" s="3" t="s">
        <v>88</v>
      </c>
      <c r="T8" s="8">
        <v>0</v>
      </c>
      <c r="U8" s="5" t="s">
        <v>39</v>
      </c>
      <c r="V8" s="9">
        <v>0</v>
      </c>
      <c r="W8" s="3" t="s">
        <v>89</v>
      </c>
      <c r="X8" s="8">
        <v>1</v>
      </c>
      <c r="Y8" s="3" t="s">
        <v>40</v>
      </c>
      <c r="Z8" s="13">
        <v>1</v>
      </c>
      <c r="AA8" s="3">
        <v>37</v>
      </c>
      <c r="AB8" s="8">
        <v>1</v>
      </c>
      <c r="AC8" s="5" t="s">
        <v>36</v>
      </c>
      <c r="AD8" s="13">
        <v>1</v>
      </c>
      <c r="AE8" s="3" t="s">
        <v>41</v>
      </c>
      <c r="AF8" s="13">
        <v>1</v>
      </c>
      <c r="AG8" s="3" t="s">
        <v>75</v>
      </c>
      <c r="AH8" s="8">
        <v>1</v>
      </c>
      <c r="AI8" s="15" t="s">
        <v>90</v>
      </c>
      <c r="AJ8" s="8">
        <v>1</v>
      </c>
      <c r="AK8" s="5" t="s">
        <v>91</v>
      </c>
      <c r="AL8" s="8">
        <v>1</v>
      </c>
      <c r="AM8" s="18">
        <f t="shared" si="0"/>
        <v>9</v>
      </c>
      <c r="AN8" s="6" t="s">
        <v>92</v>
      </c>
    </row>
    <row r="9" spans="1:40" ht="22.5" customHeight="1" x14ac:dyDescent="0.2">
      <c r="A9" s="2">
        <v>46101.767796539352</v>
      </c>
      <c r="B9" s="3" t="s">
        <v>93</v>
      </c>
      <c r="C9" s="3" t="s">
        <v>94</v>
      </c>
      <c r="D9" s="3" t="s">
        <v>95</v>
      </c>
      <c r="E9" s="5" t="s">
        <v>36</v>
      </c>
      <c r="F9" s="9">
        <v>1</v>
      </c>
      <c r="G9" s="5" t="s">
        <v>24</v>
      </c>
      <c r="H9" s="9">
        <v>1</v>
      </c>
      <c r="I9" s="3">
        <v>820</v>
      </c>
      <c r="J9" s="8">
        <v>1</v>
      </c>
      <c r="K9" s="3">
        <v>55</v>
      </c>
      <c r="L9" s="8">
        <v>1</v>
      </c>
      <c r="M9" s="3" t="s">
        <v>25</v>
      </c>
      <c r="N9" s="8">
        <v>1</v>
      </c>
      <c r="O9" s="3" t="s">
        <v>49</v>
      </c>
      <c r="P9" s="8">
        <v>1</v>
      </c>
      <c r="Q9" s="3" t="s">
        <v>26</v>
      </c>
      <c r="R9" s="8">
        <v>1</v>
      </c>
      <c r="S9" s="3" t="s">
        <v>96</v>
      </c>
      <c r="T9" s="8">
        <v>1</v>
      </c>
      <c r="U9" s="5" t="s">
        <v>39</v>
      </c>
      <c r="V9" s="9">
        <v>0</v>
      </c>
      <c r="W9" s="3" t="s">
        <v>28</v>
      </c>
      <c r="X9" s="8">
        <v>1</v>
      </c>
      <c r="Y9" s="3" t="s">
        <v>40</v>
      </c>
      <c r="Z9" s="13">
        <v>1</v>
      </c>
      <c r="AA9" s="3">
        <v>37</v>
      </c>
      <c r="AB9" s="8">
        <v>1</v>
      </c>
      <c r="AC9" s="5" t="s">
        <v>36</v>
      </c>
      <c r="AD9" s="13">
        <v>1</v>
      </c>
      <c r="AE9" s="3" t="s">
        <v>41</v>
      </c>
      <c r="AF9" s="13">
        <v>1</v>
      </c>
      <c r="AG9" s="3" t="s">
        <v>75</v>
      </c>
      <c r="AH9" s="8">
        <v>1</v>
      </c>
      <c r="AI9" s="3" t="s">
        <v>97</v>
      </c>
      <c r="AJ9" s="8">
        <v>0</v>
      </c>
      <c r="AK9" s="5" t="s">
        <v>91</v>
      </c>
      <c r="AL9" s="8">
        <v>1</v>
      </c>
      <c r="AM9" s="18">
        <f t="shared" si="0"/>
        <v>9</v>
      </c>
      <c r="AN9" s="6" t="s">
        <v>98</v>
      </c>
    </row>
    <row r="10" spans="1:40" ht="22.5" customHeight="1" x14ac:dyDescent="0.2">
      <c r="A10" s="2">
        <v>46101.767896666672</v>
      </c>
      <c r="B10" s="3" t="s">
        <v>99</v>
      </c>
      <c r="C10" s="3" t="s">
        <v>100</v>
      </c>
      <c r="D10" s="3" t="s">
        <v>101</v>
      </c>
      <c r="E10" s="5" t="s">
        <v>36</v>
      </c>
      <c r="F10" s="9">
        <v>1</v>
      </c>
      <c r="G10" s="5" t="s">
        <v>24</v>
      </c>
      <c r="H10" s="9">
        <v>1</v>
      </c>
      <c r="I10" s="3">
        <v>820</v>
      </c>
      <c r="J10" s="8">
        <v>1</v>
      </c>
      <c r="K10" s="3">
        <v>55</v>
      </c>
      <c r="L10" s="8">
        <v>1</v>
      </c>
      <c r="M10" s="3" t="s">
        <v>25</v>
      </c>
      <c r="N10" s="8">
        <v>1</v>
      </c>
      <c r="O10" s="3" t="s">
        <v>37</v>
      </c>
      <c r="P10" s="8">
        <v>1</v>
      </c>
      <c r="Q10" s="3" t="s">
        <v>102</v>
      </c>
      <c r="R10" s="8">
        <v>0</v>
      </c>
      <c r="S10" s="3" t="s">
        <v>73</v>
      </c>
      <c r="T10" s="8">
        <v>0</v>
      </c>
      <c r="U10" s="5" t="s">
        <v>39</v>
      </c>
      <c r="V10" s="9">
        <v>0</v>
      </c>
      <c r="W10" s="3" t="s">
        <v>28</v>
      </c>
      <c r="X10" s="8">
        <v>1</v>
      </c>
      <c r="Y10" s="3" t="s">
        <v>40</v>
      </c>
      <c r="Z10" s="13">
        <v>1</v>
      </c>
      <c r="AA10" s="3">
        <v>37</v>
      </c>
      <c r="AB10" s="8">
        <v>1</v>
      </c>
      <c r="AC10" s="5" t="s">
        <v>36</v>
      </c>
      <c r="AD10" s="13">
        <v>1</v>
      </c>
      <c r="AE10" s="5" t="s">
        <v>74</v>
      </c>
      <c r="AF10" s="13">
        <v>0</v>
      </c>
      <c r="AG10" s="3" t="s">
        <v>75</v>
      </c>
      <c r="AH10" s="8">
        <v>1</v>
      </c>
      <c r="AI10" s="3" t="s">
        <v>52</v>
      </c>
      <c r="AJ10" s="8">
        <v>0</v>
      </c>
      <c r="AK10" s="3" t="s">
        <v>103</v>
      </c>
      <c r="AL10" s="8">
        <v>1</v>
      </c>
      <c r="AM10" s="18">
        <f t="shared" si="0"/>
        <v>8</v>
      </c>
      <c r="AN10" s="6" t="s">
        <v>104</v>
      </c>
    </row>
    <row r="11" spans="1:40" ht="22.5" customHeight="1" x14ac:dyDescent="0.2">
      <c r="A11" s="2">
        <v>46101.768198587961</v>
      </c>
      <c r="B11" s="3" t="s">
        <v>105</v>
      </c>
      <c r="C11" s="3" t="s">
        <v>106</v>
      </c>
      <c r="D11" s="3" t="s">
        <v>107</v>
      </c>
      <c r="E11" s="5" t="s">
        <v>36</v>
      </c>
      <c r="F11" s="9">
        <v>1</v>
      </c>
      <c r="G11" s="5" t="s">
        <v>72</v>
      </c>
      <c r="H11" s="9">
        <v>1</v>
      </c>
      <c r="I11" s="3">
        <v>820</v>
      </c>
      <c r="J11" s="8">
        <v>1</v>
      </c>
      <c r="K11" s="3">
        <v>55</v>
      </c>
      <c r="L11" s="8">
        <v>1</v>
      </c>
      <c r="M11" s="3" t="s">
        <v>25</v>
      </c>
      <c r="N11" s="8">
        <v>1</v>
      </c>
      <c r="O11" s="3" t="s">
        <v>49</v>
      </c>
      <c r="P11" s="8">
        <v>1</v>
      </c>
      <c r="Q11" s="3" t="s">
        <v>60</v>
      </c>
      <c r="R11" s="8">
        <v>1</v>
      </c>
      <c r="S11" s="3" t="s">
        <v>108</v>
      </c>
      <c r="T11" s="8">
        <v>1</v>
      </c>
      <c r="U11" s="5" t="s">
        <v>39</v>
      </c>
      <c r="V11" s="9">
        <v>0</v>
      </c>
      <c r="W11" s="3" t="s">
        <v>28</v>
      </c>
      <c r="X11" s="8">
        <v>1</v>
      </c>
      <c r="Y11" s="3" t="s">
        <v>40</v>
      </c>
      <c r="Z11" s="13">
        <v>1</v>
      </c>
      <c r="AA11" s="3">
        <v>37</v>
      </c>
      <c r="AB11" s="8">
        <v>1</v>
      </c>
      <c r="AC11" s="5" t="s">
        <v>36</v>
      </c>
      <c r="AD11" s="13">
        <v>1</v>
      </c>
      <c r="AE11" s="3" t="s">
        <v>41</v>
      </c>
      <c r="AF11" s="13">
        <v>1</v>
      </c>
      <c r="AG11" s="3" t="s">
        <v>109</v>
      </c>
      <c r="AH11" s="8">
        <v>0</v>
      </c>
      <c r="AI11" s="3" t="s">
        <v>43</v>
      </c>
      <c r="AJ11" s="8">
        <v>0</v>
      </c>
      <c r="AK11" s="5" t="s">
        <v>77</v>
      </c>
      <c r="AL11" s="8">
        <v>1</v>
      </c>
      <c r="AM11" s="18">
        <f t="shared" si="0"/>
        <v>9</v>
      </c>
      <c r="AN11" s="6" t="s">
        <v>110</v>
      </c>
    </row>
    <row r="12" spans="1:40" ht="22.5" customHeight="1" x14ac:dyDescent="0.2">
      <c r="A12" s="2">
        <v>46101.768350636572</v>
      </c>
      <c r="B12" s="3" t="s">
        <v>111</v>
      </c>
      <c r="C12" s="3" t="s">
        <v>112</v>
      </c>
      <c r="D12" s="3" t="s">
        <v>113</v>
      </c>
      <c r="E12" s="5" t="s">
        <v>36</v>
      </c>
      <c r="F12" s="9">
        <v>1</v>
      </c>
      <c r="G12" s="5" t="s">
        <v>24</v>
      </c>
      <c r="H12" s="9">
        <v>1</v>
      </c>
      <c r="I12" s="3">
        <v>820</v>
      </c>
      <c r="J12" s="8">
        <v>1</v>
      </c>
      <c r="K12" s="3">
        <v>55</v>
      </c>
      <c r="L12" s="8">
        <v>1</v>
      </c>
      <c r="M12" s="3" t="s">
        <v>25</v>
      </c>
      <c r="N12" s="8">
        <v>1</v>
      </c>
      <c r="O12" s="3" t="s">
        <v>49</v>
      </c>
      <c r="P12" s="8">
        <v>1</v>
      </c>
      <c r="Q12" s="3" t="s">
        <v>114</v>
      </c>
      <c r="R12" s="8">
        <v>1</v>
      </c>
      <c r="S12" s="3" t="s">
        <v>115</v>
      </c>
      <c r="T12" s="8">
        <v>1</v>
      </c>
      <c r="U12" s="5" t="s">
        <v>39</v>
      </c>
      <c r="V12" s="9">
        <v>0</v>
      </c>
      <c r="W12" s="3" t="s">
        <v>28</v>
      </c>
      <c r="X12" s="8">
        <v>1</v>
      </c>
      <c r="Y12" s="3" t="s">
        <v>40</v>
      </c>
      <c r="Z12" s="13">
        <v>1</v>
      </c>
      <c r="AA12" s="3">
        <v>37</v>
      </c>
      <c r="AB12" s="8">
        <v>1</v>
      </c>
      <c r="AC12" s="5" t="s">
        <v>36</v>
      </c>
      <c r="AD12" s="13">
        <v>1</v>
      </c>
      <c r="AE12" s="3" t="s">
        <v>41</v>
      </c>
      <c r="AF12" s="13">
        <v>1</v>
      </c>
      <c r="AG12" s="3" t="s">
        <v>116</v>
      </c>
      <c r="AH12" s="8">
        <v>0</v>
      </c>
      <c r="AI12" s="15" t="s">
        <v>90</v>
      </c>
      <c r="AJ12" s="8">
        <v>1</v>
      </c>
      <c r="AK12" s="3" t="s">
        <v>117</v>
      </c>
      <c r="AL12" s="8">
        <v>1</v>
      </c>
      <c r="AM12" s="18">
        <f t="shared" si="0"/>
        <v>9</v>
      </c>
      <c r="AN12" s="6" t="s">
        <v>118</v>
      </c>
    </row>
    <row r="13" spans="1:40" ht="22.5" customHeight="1" x14ac:dyDescent="0.2">
      <c r="A13" s="2">
        <v>46101.768409861106</v>
      </c>
      <c r="B13" s="3" t="s">
        <v>119</v>
      </c>
      <c r="C13" s="3" t="s">
        <v>120</v>
      </c>
      <c r="D13" s="3" t="s">
        <v>121</v>
      </c>
      <c r="E13" s="3" t="s">
        <v>58</v>
      </c>
      <c r="F13" s="9">
        <v>1</v>
      </c>
      <c r="G13" s="5" t="s">
        <v>24</v>
      </c>
      <c r="H13" s="9">
        <v>1</v>
      </c>
      <c r="I13" s="3">
        <v>820</v>
      </c>
      <c r="J13" s="8">
        <v>1</v>
      </c>
      <c r="K13" s="3">
        <v>55</v>
      </c>
      <c r="L13" s="8">
        <v>1</v>
      </c>
      <c r="M13" s="3" t="s">
        <v>25</v>
      </c>
      <c r="N13" s="8">
        <v>1</v>
      </c>
      <c r="O13" s="3" t="s">
        <v>49</v>
      </c>
      <c r="P13" s="8">
        <v>1</v>
      </c>
      <c r="Q13" s="3" t="s">
        <v>60</v>
      </c>
      <c r="R13" s="8">
        <v>1</v>
      </c>
      <c r="S13" s="3" t="s">
        <v>122</v>
      </c>
      <c r="T13" s="8">
        <v>1</v>
      </c>
      <c r="U13" s="5" t="s">
        <v>39</v>
      </c>
      <c r="V13" s="9">
        <v>0</v>
      </c>
      <c r="W13" s="3" t="s">
        <v>28</v>
      </c>
      <c r="X13" s="8">
        <v>1</v>
      </c>
      <c r="Y13" s="3" t="s">
        <v>40</v>
      </c>
      <c r="Z13" s="13">
        <v>1</v>
      </c>
      <c r="AA13" s="3">
        <v>37</v>
      </c>
      <c r="AB13" s="8">
        <v>1</v>
      </c>
      <c r="AC13" s="5" t="s">
        <v>36</v>
      </c>
      <c r="AD13" s="13">
        <v>1</v>
      </c>
      <c r="AE13" s="3" t="s">
        <v>41</v>
      </c>
      <c r="AF13" s="13">
        <v>1</v>
      </c>
      <c r="AG13" s="3" t="s">
        <v>123</v>
      </c>
      <c r="AH13" s="8">
        <v>0</v>
      </c>
      <c r="AI13" s="3" t="s">
        <v>52</v>
      </c>
      <c r="AJ13" s="8">
        <v>0</v>
      </c>
      <c r="AK13" s="3" t="s">
        <v>124</v>
      </c>
      <c r="AL13" s="8">
        <v>1</v>
      </c>
      <c r="AM13" s="18">
        <f t="shared" si="0"/>
        <v>9</v>
      </c>
      <c r="AN13" s="6" t="s">
        <v>125</v>
      </c>
    </row>
    <row r="14" spans="1:40" ht="22.5" customHeight="1" x14ac:dyDescent="0.2">
      <c r="A14" s="2">
        <v>46101.768587395833</v>
      </c>
      <c r="B14" s="3" t="s">
        <v>126</v>
      </c>
      <c r="C14" s="3" t="s">
        <v>127</v>
      </c>
      <c r="D14" s="3" t="s">
        <v>128</v>
      </c>
      <c r="E14" s="5" t="s">
        <v>36</v>
      </c>
      <c r="F14" s="9">
        <v>1</v>
      </c>
      <c r="G14" s="5" t="s">
        <v>24</v>
      </c>
      <c r="H14" s="9">
        <v>1</v>
      </c>
      <c r="I14" s="3">
        <v>820</v>
      </c>
      <c r="J14" s="8">
        <v>1</v>
      </c>
      <c r="K14" s="3">
        <v>55</v>
      </c>
      <c r="L14" s="8">
        <v>1</v>
      </c>
      <c r="M14" s="3" t="s">
        <v>25</v>
      </c>
      <c r="N14" s="8">
        <v>1</v>
      </c>
      <c r="O14" s="3" t="s">
        <v>49</v>
      </c>
      <c r="P14" s="8">
        <v>1</v>
      </c>
      <c r="Q14" s="3" t="s">
        <v>60</v>
      </c>
      <c r="R14" s="8">
        <v>1</v>
      </c>
      <c r="S14" s="3" t="s">
        <v>129</v>
      </c>
      <c r="T14" s="8">
        <v>0</v>
      </c>
      <c r="U14" s="5" t="s">
        <v>39</v>
      </c>
      <c r="V14" s="9">
        <v>0</v>
      </c>
      <c r="W14" s="3" t="s">
        <v>28</v>
      </c>
      <c r="X14" s="8">
        <v>1</v>
      </c>
      <c r="Y14" s="3" t="s">
        <v>40</v>
      </c>
      <c r="Z14" s="13">
        <v>1</v>
      </c>
      <c r="AA14" s="3">
        <v>37</v>
      </c>
      <c r="AB14" s="8">
        <v>1</v>
      </c>
      <c r="AC14" s="5" t="s">
        <v>36</v>
      </c>
      <c r="AD14" s="13">
        <v>1</v>
      </c>
      <c r="AE14" s="3" t="s">
        <v>41</v>
      </c>
      <c r="AF14" s="13">
        <v>1</v>
      </c>
      <c r="AG14" s="3" t="s">
        <v>75</v>
      </c>
      <c r="AH14" s="8">
        <v>1</v>
      </c>
      <c r="AI14" s="3" t="s">
        <v>97</v>
      </c>
      <c r="AJ14" s="8">
        <v>0</v>
      </c>
      <c r="AK14" s="5" t="s">
        <v>91</v>
      </c>
      <c r="AL14" s="8">
        <v>1</v>
      </c>
      <c r="AM14" s="18">
        <f t="shared" si="0"/>
        <v>9</v>
      </c>
      <c r="AN14" s="6" t="s">
        <v>130</v>
      </c>
    </row>
    <row r="15" spans="1:40" ht="22.5" customHeight="1" x14ac:dyDescent="0.2">
      <c r="A15" s="2">
        <v>46101.768639884263</v>
      </c>
      <c r="B15" s="3" t="s">
        <v>131</v>
      </c>
      <c r="C15" s="3" t="s">
        <v>132</v>
      </c>
      <c r="D15" s="3" t="s">
        <v>133</v>
      </c>
      <c r="E15" s="5" t="s">
        <v>36</v>
      </c>
      <c r="F15" s="9">
        <v>1</v>
      </c>
      <c r="G15" s="5" t="s">
        <v>24</v>
      </c>
      <c r="H15" s="9">
        <v>1</v>
      </c>
      <c r="I15" s="3">
        <v>820</v>
      </c>
      <c r="J15" s="8">
        <v>1</v>
      </c>
      <c r="K15" s="3">
        <v>55</v>
      </c>
      <c r="L15" s="8">
        <v>1</v>
      </c>
      <c r="M15" s="3" t="s">
        <v>25</v>
      </c>
      <c r="N15" s="8">
        <v>1</v>
      </c>
      <c r="O15" s="3" t="s">
        <v>49</v>
      </c>
      <c r="P15" s="8">
        <v>1</v>
      </c>
      <c r="Q15" s="3" t="s">
        <v>26</v>
      </c>
      <c r="R15" s="8">
        <v>1</v>
      </c>
      <c r="S15" s="3" t="s">
        <v>96</v>
      </c>
      <c r="T15" s="8">
        <v>1</v>
      </c>
      <c r="U15" s="5" t="s">
        <v>39</v>
      </c>
      <c r="V15" s="9">
        <v>0</v>
      </c>
      <c r="W15" s="3" t="s">
        <v>28</v>
      </c>
      <c r="X15" s="8">
        <v>1</v>
      </c>
      <c r="Y15" s="3" t="s">
        <v>40</v>
      </c>
      <c r="Z15" s="13">
        <v>1</v>
      </c>
      <c r="AA15" s="3">
        <v>37</v>
      </c>
      <c r="AB15" s="8">
        <v>1</v>
      </c>
      <c r="AC15" s="5" t="s">
        <v>36</v>
      </c>
      <c r="AD15" s="13">
        <v>1</v>
      </c>
      <c r="AE15" s="3" t="s">
        <v>41</v>
      </c>
      <c r="AF15" s="13">
        <v>1</v>
      </c>
      <c r="AG15" s="3" t="s">
        <v>75</v>
      </c>
      <c r="AH15" s="8">
        <v>1</v>
      </c>
      <c r="AI15" s="3" t="s">
        <v>97</v>
      </c>
      <c r="AJ15" s="8">
        <v>0</v>
      </c>
      <c r="AK15" s="5" t="s">
        <v>91</v>
      </c>
      <c r="AL15" s="8">
        <v>1</v>
      </c>
      <c r="AM15" s="18">
        <f t="shared" si="0"/>
        <v>9</v>
      </c>
      <c r="AN15" s="6" t="s">
        <v>134</v>
      </c>
    </row>
    <row r="16" spans="1:40" ht="22.5" customHeight="1" x14ac:dyDescent="0.2">
      <c r="A16" s="2">
        <v>46101.769124560189</v>
      </c>
      <c r="B16" s="3" t="s">
        <v>135</v>
      </c>
      <c r="C16" s="3" t="s">
        <v>136</v>
      </c>
      <c r="D16" s="3" t="s">
        <v>137</v>
      </c>
      <c r="E16" s="5" t="s">
        <v>36</v>
      </c>
      <c r="F16" s="9">
        <v>1</v>
      </c>
      <c r="G16" s="5" t="s">
        <v>24</v>
      </c>
      <c r="H16" s="9">
        <v>1</v>
      </c>
      <c r="I16" s="3">
        <v>820</v>
      </c>
      <c r="J16" s="8">
        <v>1</v>
      </c>
      <c r="K16" s="3">
        <v>55</v>
      </c>
      <c r="L16" s="8">
        <v>1</v>
      </c>
      <c r="M16" s="3" t="s">
        <v>25</v>
      </c>
      <c r="N16" s="8">
        <v>1</v>
      </c>
      <c r="O16" s="3" t="s">
        <v>49</v>
      </c>
      <c r="P16" s="8">
        <v>1</v>
      </c>
      <c r="Q16" s="3" t="s">
        <v>138</v>
      </c>
      <c r="R16" s="8">
        <v>0</v>
      </c>
      <c r="S16" s="3" t="s">
        <v>139</v>
      </c>
      <c r="T16" s="8">
        <v>0</v>
      </c>
      <c r="U16" s="5" t="s">
        <v>39</v>
      </c>
      <c r="V16" s="9">
        <v>0</v>
      </c>
      <c r="W16" s="3" t="s">
        <v>140</v>
      </c>
      <c r="X16" s="8">
        <v>1</v>
      </c>
      <c r="Y16" s="3" t="s">
        <v>40</v>
      </c>
      <c r="Z16" s="13">
        <v>1</v>
      </c>
      <c r="AA16" s="3">
        <v>37</v>
      </c>
      <c r="AB16" s="8">
        <v>1</v>
      </c>
      <c r="AC16" s="5" t="s">
        <v>36</v>
      </c>
      <c r="AD16" s="13">
        <v>1</v>
      </c>
      <c r="AE16" s="5" t="s">
        <v>74</v>
      </c>
      <c r="AF16" s="13">
        <v>1</v>
      </c>
      <c r="AG16" s="3" t="s">
        <v>141</v>
      </c>
      <c r="AH16" s="8">
        <v>1</v>
      </c>
      <c r="AI16" s="3" t="s">
        <v>52</v>
      </c>
      <c r="AJ16" s="8">
        <v>0</v>
      </c>
      <c r="AK16" s="3" t="s">
        <v>142</v>
      </c>
      <c r="AL16" s="8">
        <v>1</v>
      </c>
      <c r="AM16" s="18">
        <f t="shared" si="0"/>
        <v>8</v>
      </c>
      <c r="AN16" s="6" t="s">
        <v>143</v>
      </c>
    </row>
    <row r="17" spans="1:40" ht="22.5" customHeight="1" x14ac:dyDescent="0.2">
      <c r="A17" s="2">
        <v>46101.769673622686</v>
      </c>
      <c r="B17" s="3" t="s">
        <v>144</v>
      </c>
      <c r="C17" s="3" t="s">
        <v>145</v>
      </c>
      <c r="D17" s="3" t="s">
        <v>146</v>
      </c>
      <c r="E17" s="5" t="s">
        <v>36</v>
      </c>
      <c r="F17" s="9">
        <v>1</v>
      </c>
      <c r="G17" s="5" t="s">
        <v>24</v>
      </c>
      <c r="H17" s="9">
        <v>1</v>
      </c>
      <c r="I17" s="3">
        <v>820</v>
      </c>
      <c r="J17" s="8">
        <v>1</v>
      </c>
      <c r="K17" s="3">
        <v>55</v>
      </c>
      <c r="L17" s="8">
        <v>1</v>
      </c>
      <c r="M17" s="3" t="s">
        <v>25</v>
      </c>
      <c r="N17" s="8">
        <v>1</v>
      </c>
      <c r="O17" s="3" t="s">
        <v>49</v>
      </c>
      <c r="P17" s="8">
        <v>1</v>
      </c>
      <c r="Q17" s="3" t="s">
        <v>60</v>
      </c>
      <c r="R17" s="8">
        <v>1</v>
      </c>
      <c r="S17" s="3" t="s">
        <v>73</v>
      </c>
      <c r="T17" s="8">
        <v>0</v>
      </c>
      <c r="U17" s="5" t="s">
        <v>39</v>
      </c>
      <c r="V17" s="9">
        <v>0</v>
      </c>
      <c r="W17" s="3" t="s">
        <v>28</v>
      </c>
      <c r="X17" s="8">
        <v>1</v>
      </c>
      <c r="Y17" s="3" t="s">
        <v>40</v>
      </c>
      <c r="Z17" s="13">
        <v>1</v>
      </c>
      <c r="AA17" s="3">
        <v>37</v>
      </c>
      <c r="AB17" s="8">
        <v>1</v>
      </c>
      <c r="AC17" s="5" t="s">
        <v>36</v>
      </c>
      <c r="AD17" s="13">
        <v>1</v>
      </c>
      <c r="AE17" s="5" t="s">
        <v>74</v>
      </c>
      <c r="AF17" s="13">
        <v>0</v>
      </c>
      <c r="AG17" s="3" t="s">
        <v>75</v>
      </c>
      <c r="AH17" s="8">
        <v>1</v>
      </c>
      <c r="AI17" s="3" t="s">
        <v>52</v>
      </c>
      <c r="AJ17" s="8">
        <v>0</v>
      </c>
      <c r="AK17" s="3" t="s">
        <v>147</v>
      </c>
      <c r="AL17" s="8">
        <v>1</v>
      </c>
      <c r="AM17" s="18">
        <f t="shared" si="0"/>
        <v>8</v>
      </c>
      <c r="AN17" s="6" t="s">
        <v>148</v>
      </c>
    </row>
    <row r="18" spans="1:40" ht="22.5" customHeight="1" x14ac:dyDescent="0.2">
      <c r="A18" s="2">
        <v>46101.769887916671</v>
      </c>
      <c r="B18" s="3" t="s">
        <v>149</v>
      </c>
      <c r="C18" s="3" t="s">
        <v>150</v>
      </c>
      <c r="D18" s="3" t="s">
        <v>151</v>
      </c>
      <c r="E18" s="3" t="s">
        <v>58</v>
      </c>
      <c r="F18" s="9">
        <v>1</v>
      </c>
      <c r="G18" s="5" t="s">
        <v>72</v>
      </c>
      <c r="H18" s="9">
        <v>1</v>
      </c>
      <c r="I18" s="3">
        <v>820</v>
      </c>
      <c r="J18" s="8">
        <v>1</v>
      </c>
      <c r="K18" s="3">
        <v>55</v>
      </c>
      <c r="L18" s="8">
        <v>1</v>
      </c>
      <c r="M18" s="3" t="s">
        <v>25</v>
      </c>
      <c r="N18" s="8">
        <v>1</v>
      </c>
      <c r="O18" s="3" t="s">
        <v>152</v>
      </c>
      <c r="P18" s="8">
        <v>0</v>
      </c>
      <c r="Q18" s="3" t="s">
        <v>152</v>
      </c>
      <c r="R18" s="8">
        <v>0</v>
      </c>
      <c r="S18" s="3" t="s">
        <v>153</v>
      </c>
      <c r="T18" s="8">
        <v>1</v>
      </c>
      <c r="U18" s="5" t="s">
        <v>39</v>
      </c>
      <c r="V18" s="9">
        <v>0</v>
      </c>
      <c r="W18" s="3" t="s">
        <v>28</v>
      </c>
      <c r="X18" s="8">
        <v>1</v>
      </c>
      <c r="Y18" s="3" t="s">
        <v>63</v>
      </c>
      <c r="Z18" s="13">
        <v>1</v>
      </c>
      <c r="AA18" s="3">
        <v>37</v>
      </c>
      <c r="AB18" s="8">
        <v>1</v>
      </c>
      <c r="AC18" s="5" t="s">
        <v>36</v>
      </c>
      <c r="AD18" s="13">
        <v>1</v>
      </c>
      <c r="AE18" s="3" t="s">
        <v>41</v>
      </c>
      <c r="AF18" s="13">
        <v>1</v>
      </c>
      <c r="AG18" s="3" t="s">
        <v>154</v>
      </c>
      <c r="AH18" s="8">
        <v>1</v>
      </c>
      <c r="AI18" s="15" t="s">
        <v>155</v>
      </c>
      <c r="AJ18" s="8">
        <v>1</v>
      </c>
      <c r="AK18" s="3" t="s">
        <v>152</v>
      </c>
      <c r="AL18" s="8">
        <v>0</v>
      </c>
      <c r="AM18" s="18">
        <f t="shared" si="0"/>
        <v>8</v>
      </c>
      <c r="AN18" s="6" t="s">
        <v>156</v>
      </c>
    </row>
    <row r="19" spans="1:40" ht="22.5" customHeight="1" x14ac:dyDescent="0.2">
      <c r="A19" s="2">
        <v>46101.770564317128</v>
      </c>
      <c r="B19" s="3" t="s">
        <v>157</v>
      </c>
      <c r="C19" s="3" t="s">
        <v>158</v>
      </c>
      <c r="D19" s="3" t="s">
        <v>159</v>
      </c>
      <c r="E19" s="5" t="s">
        <v>36</v>
      </c>
      <c r="F19" s="9">
        <v>1</v>
      </c>
      <c r="G19" s="5" t="s">
        <v>24</v>
      </c>
      <c r="H19" s="9">
        <v>1</v>
      </c>
      <c r="I19" s="3">
        <v>820</v>
      </c>
      <c r="J19" s="8">
        <v>1</v>
      </c>
      <c r="K19" s="3">
        <v>55</v>
      </c>
      <c r="L19" s="8">
        <v>1</v>
      </c>
      <c r="M19" s="3" t="s">
        <v>160</v>
      </c>
      <c r="N19" s="8">
        <v>0</v>
      </c>
      <c r="O19" s="3" t="s">
        <v>49</v>
      </c>
      <c r="P19" s="8">
        <v>1</v>
      </c>
      <c r="Q19" s="3" t="s">
        <v>161</v>
      </c>
      <c r="R19" s="8">
        <v>1</v>
      </c>
      <c r="S19" s="3" t="s">
        <v>162</v>
      </c>
      <c r="T19" s="8">
        <v>0</v>
      </c>
      <c r="U19" s="5" t="s">
        <v>39</v>
      </c>
      <c r="V19" s="9">
        <v>0</v>
      </c>
      <c r="W19" s="3" t="s">
        <v>163</v>
      </c>
      <c r="X19" s="8">
        <v>1</v>
      </c>
      <c r="Y19" s="3" t="s">
        <v>40</v>
      </c>
      <c r="Z19" s="13">
        <v>1</v>
      </c>
      <c r="AA19" s="3">
        <v>37</v>
      </c>
      <c r="AB19" s="8">
        <v>1</v>
      </c>
      <c r="AC19" s="5" t="s">
        <v>36</v>
      </c>
      <c r="AD19" s="13">
        <v>1</v>
      </c>
      <c r="AE19" s="3" t="s">
        <v>41</v>
      </c>
      <c r="AF19" s="13">
        <v>1</v>
      </c>
      <c r="AG19" s="3" t="s">
        <v>123</v>
      </c>
      <c r="AH19" s="8">
        <v>0</v>
      </c>
      <c r="AI19" s="3" t="s">
        <v>164</v>
      </c>
      <c r="AJ19" s="8">
        <v>0</v>
      </c>
      <c r="AK19" s="5" t="s">
        <v>77</v>
      </c>
      <c r="AL19" s="8">
        <v>1</v>
      </c>
      <c r="AM19" s="18">
        <f t="shared" si="0"/>
        <v>8</v>
      </c>
      <c r="AN19" s="6" t="s">
        <v>165</v>
      </c>
    </row>
    <row r="20" spans="1:40" ht="22.5" customHeight="1" x14ac:dyDescent="0.2">
      <c r="A20" s="2">
        <v>46101.770840150464</v>
      </c>
      <c r="B20" s="3" t="s">
        <v>166</v>
      </c>
      <c r="C20" s="3" t="s">
        <v>167</v>
      </c>
      <c r="D20" s="3" t="s">
        <v>168</v>
      </c>
      <c r="E20" s="5" t="s">
        <v>36</v>
      </c>
      <c r="F20" s="9">
        <v>1</v>
      </c>
      <c r="G20" s="5" t="s">
        <v>24</v>
      </c>
      <c r="H20" s="9">
        <v>1</v>
      </c>
      <c r="I20" s="3">
        <v>820</v>
      </c>
      <c r="J20" s="8">
        <v>1</v>
      </c>
      <c r="K20" s="3">
        <v>55</v>
      </c>
      <c r="L20" s="8">
        <v>1</v>
      </c>
      <c r="M20" s="3" t="s">
        <v>25</v>
      </c>
      <c r="N20" s="8">
        <v>1</v>
      </c>
      <c r="O20" s="3" t="s">
        <v>49</v>
      </c>
      <c r="P20" s="8">
        <v>1</v>
      </c>
      <c r="Q20" s="3" t="s">
        <v>60</v>
      </c>
      <c r="R20" s="8">
        <v>1</v>
      </c>
      <c r="S20" s="3" t="s">
        <v>169</v>
      </c>
      <c r="T20" s="8">
        <v>0</v>
      </c>
      <c r="U20" s="5" t="s">
        <v>170</v>
      </c>
      <c r="V20" s="9">
        <v>1</v>
      </c>
      <c r="W20" s="3" t="s">
        <v>171</v>
      </c>
      <c r="X20" s="8">
        <v>1</v>
      </c>
      <c r="Y20" s="3" t="s">
        <v>172</v>
      </c>
      <c r="Z20" s="13">
        <v>0</v>
      </c>
      <c r="AA20" s="3">
        <v>37</v>
      </c>
      <c r="AB20" s="8">
        <v>1</v>
      </c>
      <c r="AC20" s="5" t="s">
        <v>173</v>
      </c>
      <c r="AD20" s="13">
        <v>0</v>
      </c>
      <c r="AE20" s="3" t="s">
        <v>174</v>
      </c>
      <c r="AF20" s="13">
        <v>0</v>
      </c>
      <c r="AG20" s="3" t="s">
        <v>175</v>
      </c>
      <c r="AH20" s="8">
        <v>0</v>
      </c>
      <c r="AI20" s="3">
        <v>0</v>
      </c>
      <c r="AJ20" s="8">
        <v>0</v>
      </c>
      <c r="AK20" s="3">
        <v>0</v>
      </c>
      <c r="AL20" s="8">
        <v>0</v>
      </c>
      <c r="AM20" s="18">
        <f t="shared" si="0"/>
        <v>6</v>
      </c>
      <c r="AN20" s="6" t="s">
        <v>176</v>
      </c>
    </row>
    <row r="21" spans="1:40" ht="22.5" customHeight="1" x14ac:dyDescent="0.2">
      <c r="A21" s="2">
        <v>46101.771339583334</v>
      </c>
      <c r="B21" s="3" t="s">
        <v>177</v>
      </c>
      <c r="C21" s="3" t="s">
        <v>178</v>
      </c>
      <c r="D21" s="3" t="s">
        <v>179</v>
      </c>
      <c r="E21" s="5" t="s">
        <v>36</v>
      </c>
      <c r="F21" s="9">
        <v>1</v>
      </c>
      <c r="G21" s="5" t="s">
        <v>180</v>
      </c>
      <c r="H21" s="9">
        <v>1</v>
      </c>
      <c r="I21" s="3">
        <v>820</v>
      </c>
      <c r="J21" s="8">
        <v>1</v>
      </c>
      <c r="K21" s="3">
        <v>55</v>
      </c>
      <c r="L21" s="8">
        <v>1</v>
      </c>
      <c r="M21" s="3" t="s">
        <v>25</v>
      </c>
      <c r="N21" s="8">
        <v>1</v>
      </c>
      <c r="O21" s="3" t="s">
        <v>49</v>
      </c>
      <c r="P21" s="8">
        <v>1</v>
      </c>
      <c r="Q21" s="3" t="s">
        <v>60</v>
      </c>
      <c r="R21" s="8">
        <v>1</v>
      </c>
      <c r="S21" s="3" t="s">
        <v>181</v>
      </c>
      <c r="T21" s="8">
        <v>0</v>
      </c>
      <c r="U21" s="5" t="s">
        <v>39</v>
      </c>
      <c r="V21" s="9">
        <v>0</v>
      </c>
      <c r="W21" s="3" t="s">
        <v>182</v>
      </c>
      <c r="X21" s="8">
        <v>1</v>
      </c>
      <c r="Y21" s="3" t="s">
        <v>183</v>
      </c>
      <c r="Z21" s="13">
        <v>0</v>
      </c>
      <c r="AA21" s="3">
        <v>37</v>
      </c>
      <c r="AB21" s="8">
        <v>1</v>
      </c>
      <c r="AC21" s="5" t="s">
        <v>36</v>
      </c>
      <c r="AD21" s="13">
        <v>1</v>
      </c>
      <c r="AE21" s="3" t="s">
        <v>41</v>
      </c>
      <c r="AF21" s="13">
        <v>1</v>
      </c>
      <c r="AG21" s="3" t="s">
        <v>184</v>
      </c>
      <c r="AH21" s="8">
        <v>0</v>
      </c>
      <c r="AI21" s="3" t="s">
        <v>185</v>
      </c>
      <c r="AJ21" s="8">
        <v>0</v>
      </c>
      <c r="AK21" s="3" t="s">
        <v>185</v>
      </c>
      <c r="AL21" s="8">
        <v>0</v>
      </c>
      <c r="AM21" s="18">
        <f t="shared" si="0"/>
        <v>7</v>
      </c>
      <c r="AN21" s="6" t="s">
        <v>186</v>
      </c>
    </row>
    <row r="22" spans="1:40" ht="22.5" customHeight="1" x14ac:dyDescent="0.2">
      <c r="A22" s="2">
        <v>46101.771352638891</v>
      </c>
      <c r="B22" s="3" t="s">
        <v>187</v>
      </c>
      <c r="C22" s="3" t="s">
        <v>188</v>
      </c>
      <c r="D22" s="3" t="s">
        <v>189</v>
      </c>
      <c r="E22" s="5" t="s">
        <v>36</v>
      </c>
      <c r="F22" s="9">
        <v>1</v>
      </c>
      <c r="G22" s="5" t="s">
        <v>24</v>
      </c>
      <c r="H22" s="9">
        <v>1</v>
      </c>
      <c r="I22" s="3">
        <v>820</v>
      </c>
      <c r="J22" s="8">
        <v>1</v>
      </c>
      <c r="K22" s="3">
        <v>55</v>
      </c>
      <c r="L22" s="8">
        <v>1</v>
      </c>
      <c r="M22" s="3" t="s">
        <v>25</v>
      </c>
      <c r="N22" s="8">
        <v>1</v>
      </c>
      <c r="O22" s="3" t="s">
        <v>37</v>
      </c>
      <c r="P22" s="8">
        <v>1</v>
      </c>
      <c r="Q22" s="3" t="s">
        <v>60</v>
      </c>
      <c r="R22" s="8">
        <v>1</v>
      </c>
      <c r="S22" s="3" t="s">
        <v>190</v>
      </c>
      <c r="T22" s="8">
        <v>0</v>
      </c>
      <c r="U22" s="5" t="s">
        <v>170</v>
      </c>
      <c r="V22" s="9">
        <v>1</v>
      </c>
      <c r="W22" s="3" t="s">
        <v>28</v>
      </c>
      <c r="X22" s="8">
        <v>1</v>
      </c>
      <c r="Y22" s="3" t="s">
        <v>40</v>
      </c>
      <c r="Z22" s="13">
        <v>1</v>
      </c>
      <c r="AA22" s="3">
        <v>37</v>
      </c>
      <c r="AB22" s="8">
        <v>1</v>
      </c>
      <c r="AC22" s="5" t="s">
        <v>36</v>
      </c>
      <c r="AD22" s="13">
        <v>1</v>
      </c>
      <c r="AE22" s="4" t="s">
        <v>296</v>
      </c>
      <c r="AF22" s="13">
        <v>0</v>
      </c>
      <c r="AG22" s="3" t="s">
        <v>191</v>
      </c>
      <c r="AH22" s="8">
        <v>0</v>
      </c>
      <c r="AI22" s="3" t="s">
        <v>192</v>
      </c>
      <c r="AJ22" s="8">
        <v>0</v>
      </c>
      <c r="AK22" s="3" t="s">
        <v>190</v>
      </c>
      <c r="AL22" s="8">
        <v>0</v>
      </c>
      <c r="AM22" s="18">
        <f t="shared" si="0"/>
        <v>8</v>
      </c>
      <c r="AN22" s="6" t="s">
        <v>193</v>
      </c>
    </row>
    <row r="23" spans="1:40" ht="22.5" customHeight="1" x14ac:dyDescent="0.2">
      <c r="A23" s="2">
        <v>46101.771636585647</v>
      </c>
      <c r="B23" s="3" t="s">
        <v>194</v>
      </c>
      <c r="C23" s="3" t="s">
        <v>195</v>
      </c>
      <c r="D23" s="3" t="s">
        <v>196</v>
      </c>
      <c r="E23" s="5" t="s">
        <v>36</v>
      </c>
      <c r="F23" s="9">
        <v>1</v>
      </c>
      <c r="G23" s="5" t="s">
        <v>24</v>
      </c>
      <c r="H23" s="9">
        <v>1</v>
      </c>
      <c r="I23" s="3">
        <v>820</v>
      </c>
      <c r="J23" s="8">
        <v>1</v>
      </c>
      <c r="K23" s="3">
        <v>55</v>
      </c>
      <c r="L23" s="8">
        <v>1</v>
      </c>
      <c r="M23" s="3" t="s">
        <v>25</v>
      </c>
      <c r="N23" s="8">
        <v>1</v>
      </c>
      <c r="O23" s="3" t="s">
        <v>37</v>
      </c>
      <c r="P23" s="8">
        <v>1</v>
      </c>
      <c r="Q23" s="3" t="s">
        <v>60</v>
      </c>
      <c r="R23" s="8">
        <v>1</v>
      </c>
      <c r="S23" s="3" t="s">
        <v>197</v>
      </c>
      <c r="T23" s="8">
        <v>0</v>
      </c>
      <c r="U23" s="5" t="s">
        <v>170</v>
      </c>
      <c r="V23" s="9">
        <v>1</v>
      </c>
      <c r="W23" s="3" t="s">
        <v>28</v>
      </c>
      <c r="X23" s="8">
        <v>1</v>
      </c>
      <c r="Y23" s="3" t="s">
        <v>40</v>
      </c>
      <c r="Z23" s="13">
        <v>1</v>
      </c>
      <c r="AA23" s="3">
        <v>37</v>
      </c>
      <c r="AB23" s="8">
        <v>1</v>
      </c>
      <c r="AC23" s="5" t="s">
        <v>36</v>
      </c>
      <c r="AD23" s="13">
        <v>1</v>
      </c>
      <c r="AE23" s="3" t="s">
        <v>198</v>
      </c>
      <c r="AF23" s="13">
        <v>0</v>
      </c>
      <c r="AG23" s="3" t="s">
        <v>198</v>
      </c>
      <c r="AH23" s="8">
        <v>0</v>
      </c>
      <c r="AI23" s="3" t="s">
        <v>198</v>
      </c>
      <c r="AJ23" s="8">
        <v>0</v>
      </c>
      <c r="AK23" s="3" t="s">
        <v>198</v>
      </c>
      <c r="AL23" s="8">
        <v>0</v>
      </c>
      <c r="AM23" s="18">
        <f t="shared" si="0"/>
        <v>8</v>
      </c>
      <c r="AN23" s="6" t="s">
        <v>199</v>
      </c>
    </row>
    <row r="24" spans="1:40" ht="22.5" customHeight="1" x14ac:dyDescent="0.2">
      <c r="A24" s="2">
        <v>46101.772489340277</v>
      </c>
      <c r="B24" s="3" t="s">
        <v>200</v>
      </c>
      <c r="C24" s="3" t="s">
        <v>201</v>
      </c>
      <c r="D24" s="3" t="s">
        <v>202</v>
      </c>
      <c r="E24" s="5" t="s">
        <v>36</v>
      </c>
      <c r="F24" s="9">
        <v>1</v>
      </c>
      <c r="G24" s="5" t="s">
        <v>24</v>
      </c>
      <c r="H24" s="9">
        <v>1</v>
      </c>
      <c r="I24" s="3">
        <v>820</v>
      </c>
      <c r="J24" s="8">
        <v>1</v>
      </c>
      <c r="K24" s="3">
        <v>55</v>
      </c>
      <c r="L24" s="8">
        <v>1</v>
      </c>
      <c r="M24" s="3" t="s">
        <v>25</v>
      </c>
      <c r="N24" s="8">
        <v>1</v>
      </c>
      <c r="O24" s="3" t="s">
        <v>203</v>
      </c>
      <c r="P24" s="8">
        <v>0</v>
      </c>
      <c r="Q24" s="3" t="s">
        <v>60</v>
      </c>
      <c r="R24" s="8">
        <v>1</v>
      </c>
      <c r="S24" s="3" t="s">
        <v>203</v>
      </c>
      <c r="T24" s="8">
        <v>0</v>
      </c>
      <c r="U24" s="5" t="s">
        <v>39</v>
      </c>
      <c r="V24" s="9">
        <v>0</v>
      </c>
      <c r="W24" s="3" t="s">
        <v>28</v>
      </c>
      <c r="X24" s="8">
        <v>1</v>
      </c>
      <c r="Y24" s="3" t="s">
        <v>40</v>
      </c>
      <c r="Z24" s="13">
        <v>1</v>
      </c>
      <c r="AA24" s="3">
        <v>37</v>
      </c>
      <c r="AB24" s="8">
        <v>1</v>
      </c>
      <c r="AC24" s="3" t="s">
        <v>204</v>
      </c>
      <c r="AD24" s="13">
        <v>0</v>
      </c>
      <c r="AE24" s="3" t="s">
        <v>205</v>
      </c>
      <c r="AF24" s="13">
        <v>0</v>
      </c>
      <c r="AG24" s="3" t="s">
        <v>203</v>
      </c>
      <c r="AH24" s="8">
        <v>0</v>
      </c>
      <c r="AI24" s="3" t="s">
        <v>203</v>
      </c>
      <c r="AJ24" s="8">
        <v>0</v>
      </c>
      <c r="AK24" s="3" t="s">
        <v>203</v>
      </c>
      <c r="AL24" s="8">
        <v>0</v>
      </c>
      <c r="AM24" s="18">
        <f t="shared" si="0"/>
        <v>6</v>
      </c>
      <c r="AN24" s="6" t="s">
        <v>206</v>
      </c>
    </row>
    <row r="25" spans="1:40" ht="22.5" customHeight="1" x14ac:dyDescent="0.2">
      <c r="A25" s="2">
        <v>46101.773471053239</v>
      </c>
      <c r="B25" s="3" t="s">
        <v>207</v>
      </c>
      <c r="C25" s="3" t="s">
        <v>208</v>
      </c>
      <c r="D25" s="3" t="s">
        <v>209</v>
      </c>
      <c r="E25" s="5" t="s">
        <v>36</v>
      </c>
      <c r="F25" s="9">
        <v>1</v>
      </c>
      <c r="G25" s="5" t="s">
        <v>24</v>
      </c>
      <c r="H25" s="9">
        <v>1</v>
      </c>
      <c r="I25" s="3">
        <v>820</v>
      </c>
      <c r="J25" s="8">
        <v>1</v>
      </c>
      <c r="K25" s="3">
        <v>55</v>
      </c>
      <c r="L25" s="8">
        <v>1</v>
      </c>
      <c r="M25" s="3" t="s">
        <v>25</v>
      </c>
      <c r="N25" s="8">
        <v>1</v>
      </c>
      <c r="O25" s="3" t="s">
        <v>49</v>
      </c>
      <c r="P25" s="8">
        <v>1</v>
      </c>
      <c r="Q25" s="3" t="s">
        <v>60</v>
      </c>
      <c r="R25" s="8">
        <v>1</v>
      </c>
      <c r="S25" s="3" t="s">
        <v>210</v>
      </c>
      <c r="T25" s="8">
        <v>1</v>
      </c>
      <c r="U25" s="5" t="s">
        <v>39</v>
      </c>
      <c r="V25" s="9">
        <v>0</v>
      </c>
      <c r="W25" s="3" t="s">
        <v>28</v>
      </c>
      <c r="X25" s="8">
        <v>1</v>
      </c>
      <c r="Y25" s="3" t="s">
        <v>40</v>
      </c>
      <c r="Z25" s="13">
        <v>1</v>
      </c>
      <c r="AA25" s="3">
        <v>37</v>
      </c>
      <c r="AB25" s="8">
        <v>1</v>
      </c>
      <c r="AC25" s="5" t="s">
        <v>36</v>
      </c>
      <c r="AD25" s="13">
        <v>1</v>
      </c>
      <c r="AE25" s="3" t="s">
        <v>41</v>
      </c>
      <c r="AF25" s="13">
        <v>1</v>
      </c>
      <c r="AG25" s="3" t="s">
        <v>123</v>
      </c>
      <c r="AH25" s="8">
        <v>0</v>
      </c>
      <c r="AI25" s="3" t="s">
        <v>52</v>
      </c>
      <c r="AJ25" s="8">
        <v>0</v>
      </c>
      <c r="AK25" s="3" t="s">
        <v>211</v>
      </c>
      <c r="AL25" s="8">
        <v>1</v>
      </c>
      <c r="AM25" s="18">
        <f t="shared" si="0"/>
        <v>9</v>
      </c>
      <c r="AN25" s="6" t="s">
        <v>212</v>
      </c>
    </row>
    <row r="26" spans="1:40" ht="22.5" customHeight="1" x14ac:dyDescent="0.2">
      <c r="A26" s="2">
        <v>46101.773661504631</v>
      </c>
      <c r="B26" s="3" t="s">
        <v>213</v>
      </c>
      <c r="C26" s="3" t="s">
        <v>214</v>
      </c>
      <c r="D26" s="3" t="s">
        <v>215</v>
      </c>
      <c r="E26" s="5" t="s">
        <v>36</v>
      </c>
      <c r="F26" s="9">
        <v>1</v>
      </c>
      <c r="G26" s="5" t="s">
        <v>24</v>
      </c>
      <c r="H26" s="9">
        <v>1</v>
      </c>
      <c r="I26" s="3">
        <v>820</v>
      </c>
      <c r="J26" s="8">
        <v>1</v>
      </c>
      <c r="K26" s="3">
        <v>55</v>
      </c>
      <c r="L26" s="8">
        <v>1</v>
      </c>
      <c r="M26" s="3" t="s">
        <v>25</v>
      </c>
      <c r="N26" s="8">
        <v>1</v>
      </c>
      <c r="O26" s="3" t="s">
        <v>49</v>
      </c>
      <c r="P26" s="8">
        <v>1</v>
      </c>
      <c r="Q26" s="3" t="s">
        <v>60</v>
      </c>
      <c r="R26" s="8">
        <v>1</v>
      </c>
      <c r="S26" s="3" t="s">
        <v>216</v>
      </c>
      <c r="T26" s="8">
        <v>1</v>
      </c>
      <c r="U26" s="5" t="s">
        <v>39</v>
      </c>
      <c r="V26" s="9">
        <v>0</v>
      </c>
      <c r="W26" s="3" t="s">
        <v>28</v>
      </c>
      <c r="X26" s="8">
        <v>1</v>
      </c>
      <c r="Y26" s="3" t="s">
        <v>40</v>
      </c>
      <c r="Z26" s="13">
        <v>1</v>
      </c>
      <c r="AA26" s="3">
        <v>37</v>
      </c>
      <c r="AB26" s="8">
        <v>1</v>
      </c>
      <c r="AC26" s="5" t="s">
        <v>36</v>
      </c>
      <c r="AD26" s="13">
        <v>1</v>
      </c>
      <c r="AE26" s="3" t="s">
        <v>41</v>
      </c>
      <c r="AF26" s="13">
        <v>1</v>
      </c>
      <c r="AG26" s="3" t="s">
        <v>123</v>
      </c>
      <c r="AH26" s="8">
        <v>0</v>
      </c>
      <c r="AI26" s="3" t="s">
        <v>217</v>
      </c>
      <c r="AJ26" s="8">
        <v>0</v>
      </c>
      <c r="AK26" s="3" t="s">
        <v>218</v>
      </c>
      <c r="AL26" s="8">
        <v>1</v>
      </c>
      <c r="AM26" s="18">
        <f t="shared" si="0"/>
        <v>9</v>
      </c>
      <c r="AN26" s="6" t="s">
        <v>219</v>
      </c>
    </row>
    <row r="27" spans="1:40" ht="22.5" customHeight="1" x14ac:dyDescent="0.2">
      <c r="A27" s="2">
        <v>46101.828414884258</v>
      </c>
      <c r="B27" s="3" t="s">
        <v>220</v>
      </c>
      <c r="C27" s="3" t="s">
        <v>221</v>
      </c>
      <c r="D27" s="3" t="s">
        <v>222</v>
      </c>
      <c r="E27" s="5" t="s">
        <v>36</v>
      </c>
      <c r="F27" s="9">
        <v>1</v>
      </c>
      <c r="G27" s="5" t="s">
        <v>24</v>
      </c>
      <c r="H27" s="9">
        <v>1</v>
      </c>
      <c r="I27" s="3">
        <v>820</v>
      </c>
      <c r="J27" s="8">
        <v>1</v>
      </c>
      <c r="K27" s="3">
        <v>55</v>
      </c>
      <c r="L27" s="8">
        <v>1</v>
      </c>
      <c r="M27" s="3" t="s">
        <v>25</v>
      </c>
      <c r="N27" s="8">
        <v>1</v>
      </c>
      <c r="O27" s="3" t="s">
        <v>49</v>
      </c>
      <c r="P27" s="8">
        <v>1</v>
      </c>
      <c r="Q27" s="3" t="s">
        <v>60</v>
      </c>
      <c r="R27" s="8">
        <v>1</v>
      </c>
      <c r="S27" s="3" t="s">
        <v>223</v>
      </c>
      <c r="T27" s="8">
        <v>0</v>
      </c>
      <c r="U27" s="5" t="s">
        <v>39</v>
      </c>
      <c r="V27" s="9">
        <v>0</v>
      </c>
      <c r="W27" s="3" t="s">
        <v>28</v>
      </c>
      <c r="X27" s="8">
        <v>1</v>
      </c>
      <c r="Y27" s="3" t="s">
        <v>63</v>
      </c>
      <c r="Z27" s="13">
        <v>1</v>
      </c>
      <c r="AA27" s="3">
        <v>37</v>
      </c>
      <c r="AB27" s="8">
        <v>1</v>
      </c>
      <c r="AC27" s="3" t="s">
        <v>204</v>
      </c>
      <c r="AD27" s="13">
        <v>0</v>
      </c>
      <c r="AE27" s="3" t="s">
        <v>205</v>
      </c>
      <c r="AF27" s="13">
        <v>0</v>
      </c>
      <c r="AG27" s="3" t="s">
        <v>224</v>
      </c>
      <c r="AH27" s="8">
        <v>1</v>
      </c>
      <c r="AI27" s="3" t="s">
        <v>43</v>
      </c>
      <c r="AJ27" s="8">
        <v>0</v>
      </c>
      <c r="AK27" s="3" t="s">
        <v>225</v>
      </c>
      <c r="AL27" s="8">
        <v>1</v>
      </c>
      <c r="AM27" s="18">
        <f t="shared" si="0"/>
        <v>8</v>
      </c>
      <c r="AN27" s="6" t="s">
        <v>226</v>
      </c>
    </row>
    <row r="28" spans="1:40" ht="22.5" customHeight="1" x14ac:dyDescent="0.2">
      <c r="A28" s="2">
        <v>46101.828600706023</v>
      </c>
      <c r="B28" s="3" t="s">
        <v>227</v>
      </c>
      <c r="C28" s="3" t="s">
        <v>228</v>
      </c>
      <c r="D28" s="3" t="s">
        <v>229</v>
      </c>
      <c r="E28" s="5" t="s">
        <v>36</v>
      </c>
      <c r="F28" s="9">
        <v>1</v>
      </c>
      <c r="G28" s="5" t="s">
        <v>24</v>
      </c>
      <c r="H28" s="9">
        <v>1</v>
      </c>
      <c r="I28" s="3">
        <v>820</v>
      </c>
      <c r="J28" s="8">
        <v>1</v>
      </c>
      <c r="K28" s="3">
        <v>55</v>
      </c>
      <c r="L28" s="8">
        <v>1</v>
      </c>
      <c r="M28" s="3" t="s">
        <v>25</v>
      </c>
      <c r="N28" s="8">
        <v>1</v>
      </c>
      <c r="O28" s="3" t="s">
        <v>49</v>
      </c>
      <c r="P28" s="8">
        <v>1</v>
      </c>
      <c r="Q28" s="3" t="s">
        <v>26</v>
      </c>
      <c r="R28" s="8">
        <v>1</v>
      </c>
      <c r="S28" s="3" t="s">
        <v>230</v>
      </c>
      <c r="T28" s="8">
        <v>0</v>
      </c>
      <c r="U28" s="5" t="s">
        <v>39</v>
      </c>
      <c r="V28" s="9">
        <v>0</v>
      </c>
      <c r="W28" s="3" t="s">
        <v>28</v>
      </c>
      <c r="X28" s="8">
        <v>1</v>
      </c>
      <c r="Y28" s="3" t="s">
        <v>40</v>
      </c>
      <c r="Z28" s="13">
        <v>1</v>
      </c>
      <c r="AA28" s="3">
        <v>37</v>
      </c>
      <c r="AB28" s="8">
        <v>1</v>
      </c>
      <c r="AC28" s="5" t="s">
        <v>36</v>
      </c>
      <c r="AD28" s="13">
        <v>1</v>
      </c>
      <c r="AE28" s="3" t="s">
        <v>41</v>
      </c>
      <c r="AF28" s="13">
        <v>1</v>
      </c>
      <c r="AG28" s="3" t="s">
        <v>75</v>
      </c>
      <c r="AH28" s="8">
        <v>1</v>
      </c>
      <c r="AI28" s="3" t="s">
        <v>52</v>
      </c>
      <c r="AJ28" s="8">
        <v>0</v>
      </c>
      <c r="AK28" s="3" t="s">
        <v>231</v>
      </c>
      <c r="AL28" s="8">
        <v>1</v>
      </c>
      <c r="AM28" s="18">
        <f t="shared" si="0"/>
        <v>9</v>
      </c>
      <c r="AN28" s="6" t="s">
        <v>232</v>
      </c>
    </row>
    <row r="29" spans="1:40" ht="22.5" customHeight="1" x14ac:dyDescent="0.2">
      <c r="A29" s="2">
        <v>46101.830880636575</v>
      </c>
      <c r="B29" s="3" t="s">
        <v>233</v>
      </c>
      <c r="C29" s="3" t="s">
        <v>234</v>
      </c>
      <c r="D29" s="3" t="s">
        <v>235</v>
      </c>
      <c r="E29" s="5" t="s">
        <v>36</v>
      </c>
      <c r="F29" s="9">
        <v>1</v>
      </c>
      <c r="G29" s="5" t="s">
        <v>24</v>
      </c>
      <c r="H29" s="9">
        <v>1</v>
      </c>
      <c r="I29" s="3">
        <v>820</v>
      </c>
      <c r="J29" s="8">
        <v>1</v>
      </c>
      <c r="K29" s="3">
        <v>55</v>
      </c>
      <c r="L29" s="8">
        <v>1</v>
      </c>
      <c r="M29" s="3" t="s">
        <v>25</v>
      </c>
      <c r="N29" s="8">
        <v>1</v>
      </c>
      <c r="O29" s="3" t="s">
        <v>59</v>
      </c>
      <c r="P29" s="8">
        <v>1</v>
      </c>
      <c r="Q29" s="3" t="s">
        <v>26</v>
      </c>
      <c r="R29" s="8">
        <v>1</v>
      </c>
      <c r="S29" s="3" t="s">
        <v>236</v>
      </c>
      <c r="T29" s="8">
        <v>0</v>
      </c>
      <c r="U29" s="3" t="s">
        <v>237</v>
      </c>
      <c r="V29" s="9">
        <v>0</v>
      </c>
      <c r="W29" s="3" t="s">
        <v>28</v>
      </c>
      <c r="X29" s="8">
        <v>1</v>
      </c>
      <c r="Y29" s="3" t="s">
        <v>238</v>
      </c>
      <c r="Z29" s="13">
        <v>1</v>
      </c>
      <c r="AA29" s="3">
        <v>37</v>
      </c>
      <c r="AB29" s="8">
        <v>1</v>
      </c>
      <c r="AC29" s="3" t="s">
        <v>204</v>
      </c>
      <c r="AD29" s="13">
        <v>0</v>
      </c>
      <c r="AE29" s="3" t="s">
        <v>205</v>
      </c>
      <c r="AF29" s="13">
        <v>0</v>
      </c>
      <c r="AG29" s="3" t="s">
        <v>224</v>
      </c>
      <c r="AH29" s="8">
        <v>1</v>
      </c>
      <c r="AI29" s="3" t="s">
        <v>239</v>
      </c>
      <c r="AJ29" s="8">
        <v>0</v>
      </c>
      <c r="AK29" s="3" t="s">
        <v>240</v>
      </c>
      <c r="AL29" s="8">
        <v>1</v>
      </c>
      <c r="AM29" s="18">
        <f t="shared" si="0"/>
        <v>8</v>
      </c>
      <c r="AN29" s="6" t="s">
        <v>241</v>
      </c>
    </row>
    <row r="30" spans="1:40" ht="22.5" customHeight="1" x14ac:dyDescent="0.2">
      <c r="A30" s="2">
        <v>46101.832067488431</v>
      </c>
      <c r="B30" s="3" t="s">
        <v>242</v>
      </c>
      <c r="C30" s="3" t="s">
        <v>243</v>
      </c>
      <c r="D30" s="3" t="s">
        <v>244</v>
      </c>
      <c r="E30" s="5" t="s">
        <v>36</v>
      </c>
      <c r="F30" s="9">
        <v>1</v>
      </c>
      <c r="G30" s="5" t="s">
        <v>24</v>
      </c>
      <c r="H30" s="9">
        <v>1</v>
      </c>
      <c r="I30" s="3">
        <v>820</v>
      </c>
      <c r="J30" s="8">
        <v>1</v>
      </c>
      <c r="K30" s="3">
        <v>55</v>
      </c>
      <c r="L30" s="8">
        <v>1</v>
      </c>
      <c r="M30" s="3" t="s">
        <v>25</v>
      </c>
      <c r="N30" s="8">
        <v>1</v>
      </c>
      <c r="O30" s="3" t="s">
        <v>59</v>
      </c>
      <c r="P30" s="8">
        <v>1</v>
      </c>
      <c r="Q30" s="3" t="s">
        <v>26</v>
      </c>
      <c r="R30" s="8">
        <v>1</v>
      </c>
      <c r="S30" s="3" t="s">
        <v>73</v>
      </c>
      <c r="T30" s="8">
        <v>0</v>
      </c>
      <c r="U30" s="5" t="s">
        <v>39</v>
      </c>
      <c r="V30" s="9">
        <v>0</v>
      </c>
      <c r="W30" s="3" t="s">
        <v>28</v>
      </c>
      <c r="X30" s="8">
        <v>1</v>
      </c>
      <c r="Y30" s="3" t="s">
        <v>40</v>
      </c>
      <c r="Z30" s="13">
        <v>1</v>
      </c>
      <c r="AA30" s="3">
        <v>37</v>
      </c>
      <c r="AB30" s="8">
        <v>1</v>
      </c>
      <c r="AC30" s="5" t="s">
        <v>245</v>
      </c>
      <c r="AD30" s="13">
        <v>1</v>
      </c>
      <c r="AE30" s="3" t="s">
        <v>246</v>
      </c>
      <c r="AF30" s="13">
        <v>0</v>
      </c>
      <c r="AG30" s="3" t="s">
        <v>247</v>
      </c>
      <c r="AH30" s="8">
        <v>0</v>
      </c>
      <c r="AI30" s="15" t="s">
        <v>248</v>
      </c>
      <c r="AJ30" s="8">
        <v>1</v>
      </c>
      <c r="AK30" s="5" t="s">
        <v>77</v>
      </c>
      <c r="AL30" s="8">
        <v>1</v>
      </c>
      <c r="AM30" s="18">
        <f t="shared" si="0"/>
        <v>8</v>
      </c>
      <c r="AN30" s="6" t="s">
        <v>249</v>
      </c>
    </row>
    <row r="31" spans="1:40" ht="22.5" customHeight="1" x14ac:dyDescent="0.2">
      <c r="A31" s="2">
        <v>46101.842810150461</v>
      </c>
      <c r="B31" s="3" t="s">
        <v>250</v>
      </c>
      <c r="C31" s="3" t="s">
        <v>251</v>
      </c>
      <c r="D31" s="3" t="s">
        <v>252</v>
      </c>
      <c r="E31" s="5" t="s">
        <v>36</v>
      </c>
      <c r="F31" s="9">
        <v>1</v>
      </c>
      <c r="G31" s="5" t="s">
        <v>24</v>
      </c>
      <c r="H31" s="9">
        <v>1</v>
      </c>
      <c r="I31" s="3">
        <v>820</v>
      </c>
      <c r="J31" s="8">
        <v>1</v>
      </c>
      <c r="K31" s="3">
        <v>55</v>
      </c>
      <c r="L31" s="8">
        <v>1</v>
      </c>
      <c r="M31" s="3" t="s">
        <v>25</v>
      </c>
      <c r="N31" s="8">
        <v>1</v>
      </c>
      <c r="O31" s="3" t="s">
        <v>59</v>
      </c>
      <c r="P31" s="8">
        <v>1</v>
      </c>
      <c r="Q31" s="3" t="s">
        <v>26</v>
      </c>
      <c r="R31" s="8">
        <v>1</v>
      </c>
      <c r="S31" s="3" t="s">
        <v>253</v>
      </c>
      <c r="T31" s="8">
        <v>0</v>
      </c>
      <c r="U31" s="5" t="s">
        <v>39</v>
      </c>
      <c r="V31" s="9">
        <v>0</v>
      </c>
      <c r="W31" s="3" t="s">
        <v>28</v>
      </c>
      <c r="X31" s="8">
        <v>1</v>
      </c>
      <c r="Y31" s="3" t="s">
        <v>63</v>
      </c>
      <c r="Z31" s="13">
        <v>1</v>
      </c>
      <c r="AA31" s="3">
        <v>37</v>
      </c>
      <c r="AB31" s="8">
        <v>1</v>
      </c>
      <c r="AC31" s="5" t="s">
        <v>36</v>
      </c>
      <c r="AD31" s="13">
        <v>1</v>
      </c>
      <c r="AE31" s="3" t="s">
        <v>205</v>
      </c>
      <c r="AF31" s="13">
        <v>1</v>
      </c>
      <c r="AG31" s="3" t="s">
        <v>254</v>
      </c>
      <c r="AH31" s="8">
        <v>1</v>
      </c>
      <c r="AI31" s="15" t="s">
        <v>90</v>
      </c>
      <c r="AJ31" s="8">
        <v>1</v>
      </c>
      <c r="AK31" s="5" t="s">
        <v>77</v>
      </c>
      <c r="AL31" s="8">
        <v>1</v>
      </c>
      <c r="AM31" s="18">
        <f t="shared" si="0"/>
        <v>9</v>
      </c>
      <c r="AN31" s="6" t="s">
        <v>255</v>
      </c>
    </row>
    <row r="32" spans="1:40" ht="22.5" customHeight="1" x14ac:dyDescent="0.2">
      <c r="A32" s="2">
        <v>46101.848288483801</v>
      </c>
      <c r="B32" s="3" t="s">
        <v>256</v>
      </c>
      <c r="C32" s="3" t="s">
        <v>257</v>
      </c>
      <c r="D32" s="3" t="s">
        <v>258</v>
      </c>
      <c r="E32" s="5" t="s">
        <v>36</v>
      </c>
      <c r="F32" s="9">
        <v>1</v>
      </c>
      <c r="G32" s="5" t="s">
        <v>24</v>
      </c>
      <c r="H32" s="9">
        <v>1</v>
      </c>
      <c r="I32" s="3">
        <v>820</v>
      </c>
      <c r="J32" s="8">
        <v>1</v>
      </c>
      <c r="K32" s="3">
        <v>55</v>
      </c>
      <c r="L32" s="8">
        <v>1</v>
      </c>
      <c r="M32" s="3" t="s">
        <v>25</v>
      </c>
      <c r="N32" s="8">
        <v>1</v>
      </c>
      <c r="O32" s="3" t="s">
        <v>59</v>
      </c>
      <c r="P32" s="8">
        <v>1</v>
      </c>
      <c r="Q32" s="3" t="s">
        <v>102</v>
      </c>
      <c r="R32" s="8">
        <v>0</v>
      </c>
      <c r="S32" s="3" t="s">
        <v>259</v>
      </c>
      <c r="T32" s="8">
        <v>0</v>
      </c>
      <c r="U32" s="5" t="s">
        <v>39</v>
      </c>
      <c r="V32" s="9">
        <v>0</v>
      </c>
      <c r="W32" s="3" t="s">
        <v>28</v>
      </c>
      <c r="X32" s="8">
        <v>1</v>
      </c>
      <c r="Y32" s="3" t="s">
        <v>63</v>
      </c>
      <c r="Z32" s="13">
        <v>1</v>
      </c>
      <c r="AA32" s="3">
        <v>37</v>
      </c>
      <c r="AB32" s="8">
        <v>1</v>
      </c>
      <c r="AC32" s="3" t="s">
        <v>204</v>
      </c>
      <c r="AD32" s="13">
        <v>0</v>
      </c>
      <c r="AE32" s="3" t="s">
        <v>205</v>
      </c>
      <c r="AF32" s="13">
        <v>0</v>
      </c>
      <c r="AG32" s="3" t="s">
        <v>260</v>
      </c>
      <c r="AH32" s="8">
        <v>0</v>
      </c>
      <c r="AI32" s="3" t="s">
        <v>52</v>
      </c>
      <c r="AJ32" s="8">
        <v>0</v>
      </c>
      <c r="AK32" s="3" t="s">
        <v>261</v>
      </c>
      <c r="AL32" s="8">
        <v>1</v>
      </c>
      <c r="AM32" s="18">
        <f t="shared" si="0"/>
        <v>6</v>
      </c>
      <c r="AN32" s="6" t="s">
        <v>262</v>
      </c>
    </row>
    <row r="33" spans="1:40" ht="22.5" customHeight="1" x14ac:dyDescent="0.2">
      <c r="A33" s="2">
        <v>46101.853235543982</v>
      </c>
      <c r="B33" s="3" t="s">
        <v>263</v>
      </c>
      <c r="C33" s="3" t="s">
        <v>264</v>
      </c>
      <c r="D33" s="3" t="s">
        <v>265</v>
      </c>
      <c r="E33" s="5" t="s">
        <v>36</v>
      </c>
      <c r="F33" s="9">
        <v>1</v>
      </c>
      <c r="G33" s="5" t="s">
        <v>24</v>
      </c>
      <c r="H33" s="9">
        <v>1</v>
      </c>
      <c r="I33" s="3">
        <v>820</v>
      </c>
      <c r="J33" s="8">
        <v>1</v>
      </c>
      <c r="K33" s="3">
        <v>55</v>
      </c>
      <c r="L33" s="8">
        <v>1</v>
      </c>
      <c r="M33" s="3" t="s">
        <v>25</v>
      </c>
      <c r="N33" s="8">
        <v>1</v>
      </c>
      <c r="O33" s="3">
        <v>67.3</v>
      </c>
      <c r="P33" s="8">
        <v>1</v>
      </c>
      <c r="Q33" s="3" t="s">
        <v>60</v>
      </c>
      <c r="R33" s="8">
        <v>1</v>
      </c>
      <c r="S33" s="3" t="s">
        <v>73</v>
      </c>
      <c r="T33" s="8">
        <v>0</v>
      </c>
      <c r="U33" s="5" t="s">
        <v>39</v>
      </c>
      <c r="V33" s="9">
        <v>0</v>
      </c>
      <c r="W33" s="3" t="s">
        <v>28</v>
      </c>
      <c r="X33" s="8">
        <v>1</v>
      </c>
      <c r="Y33" s="3" t="s">
        <v>40</v>
      </c>
      <c r="Z33" s="13">
        <v>1</v>
      </c>
      <c r="AA33" s="3">
        <v>37</v>
      </c>
      <c r="AB33" s="8">
        <v>1</v>
      </c>
      <c r="AC33" s="5" t="s">
        <v>245</v>
      </c>
      <c r="AD33" s="13">
        <v>1</v>
      </c>
      <c r="AE33" s="3" t="s">
        <v>246</v>
      </c>
      <c r="AF33" s="13">
        <v>0</v>
      </c>
      <c r="AG33" s="3" t="s">
        <v>266</v>
      </c>
      <c r="AH33" s="8">
        <v>0</v>
      </c>
      <c r="AI33" s="3" t="s">
        <v>52</v>
      </c>
      <c r="AJ33" s="8">
        <v>0</v>
      </c>
      <c r="AK33" s="5" t="s">
        <v>77</v>
      </c>
      <c r="AL33" s="8">
        <v>1</v>
      </c>
      <c r="AM33" s="18">
        <f t="shared" si="0"/>
        <v>8</v>
      </c>
      <c r="AN33" s="6" t="s">
        <v>267</v>
      </c>
    </row>
    <row r="34" spans="1:40" ht="22.5" customHeight="1" x14ac:dyDescent="0.2">
      <c r="A34" s="2">
        <v>46101.854940833335</v>
      </c>
      <c r="B34" s="3" t="s">
        <v>268</v>
      </c>
      <c r="C34" s="3" t="s">
        <v>269</v>
      </c>
      <c r="D34" s="3" t="s">
        <v>270</v>
      </c>
      <c r="E34" s="5" t="s">
        <v>36</v>
      </c>
      <c r="F34" s="9">
        <v>1</v>
      </c>
      <c r="G34" s="5" t="s">
        <v>24</v>
      </c>
      <c r="H34" s="9">
        <v>1</v>
      </c>
      <c r="I34" s="3">
        <v>820</v>
      </c>
      <c r="J34" s="8">
        <v>1</v>
      </c>
      <c r="K34" s="3">
        <v>55</v>
      </c>
      <c r="L34" s="8">
        <v>1</v>
      </c>
      <c r="M34" s="3" t="s">
        <v>25</v>
      </c>
      <c r="N34" s="8">
        <v>1</v>
      </c>
      <c r="O34" s="3" t="s">
        <v>37</v>
      </c>
      <c r="P34" s="8">
        <v>1</v>
      </c>
      <c r="Q34" s="3" t="s">
        <v>271</v>
      </c>
      <c r="R34" s="8">
        <v>1</v>
      </c>
      <c r="S34" s="3" t="s">
        <v>272</v>
      </c>
      <c r="T34" s="8">
        <v>0</v>
      </c>
      <c r="U34" s="5" t="s">
        <v>39</v>
      </c>
      <c r="V34" s="9">
        <v>0</v>
      </c>
      <c r="W34" s="3" t="s">
        <v>28</v>
      </c>
      <c r="X34" s="8">
        <v>1</v>
      </c>
      <c r="Y34" s="3" t="s">
        <v>40</v>
      </c>
      <c r="Z34" s="13">
        <v>1</v>
      </c>
      <c r="AA34" s="3">
        <v>37</v>
      </c>
      <c r="AB34" s="8">
        <v>1</v>
      </c>
      <c r="AC34" s="5" t="s">
        <v>36</v>
      </c>
      <c r="AD34" s="13">
        <v>1</v>
      </c>
      <c r="AE34" s="3" t="s">
        <v>205</v>
      </c>
      <c r="AF34" s="13">
        <v>0</v>
      </c>
      <c r="AG34" s="3" t="s">
        <v>260</v>
      </c>
      <c r="AH34" s="8">
        <v>0</v>
      </c>
      <c r="AI34" s="3" t="s">
        <v>273</v>
      </c>
      <c r="AJ34" s="8">
        <v>0</v>
      </c>
      <c r="AK34" s="3" t="s">
        <v>274</v>
      </c>
      <c r="AL34" s="8">
        <v>1</v>
      </c>
      <c r="AM34" s="18">
        <f t="shared" si="0"/>
        <v>8</v>
      </c>
      <c r="AN34" s="6" t="s">
        <v>275</v>
      </c>
    </row>
    <row r="35" spans="1:40" ht="22.5" customHeight="1" x14ac:dyDescent="0.2">
      <c r="A35" s="2">
        <v>46101.85554340278</v>
      </c>
      <c r="B35" s="3" t="s">
        <v>276</v>
      </c>
      <c r="C35" s="3" t="s">
        <v>277</v>
      </c>
      <c r="D35" s="3" t="s">
        <v>278</v>
      </c>
      <c r="E35" s="5" t="s">
        <v>36</v>
      </c>
      <c r="F35" s="9">
        <v>1</v>
      </c>
      <c r="G35" s="5" t="s">
        <v>24</v>
      </c>
      <c r="H35" s="9">
        <v>1</v>
      </c>
      <c r="I35" s="3">
        <v>820</v>
      </c>
      <c r="J35" s="8">
        <v>1</v>
      </c>
      <c r="K35" s="3">
        <v>55</v>
      </c>
      <c r="L35" s="8">
        <v>1</v>
      </c>
      <c r="M35" s="3" t="s">
        <v>25</v>
      </c>
      <c r="N35" s="8">
        <v>1</v>
      </c>
      <c r="O35" s="3">
        <v>67.3</v>
      </c>
      <c r="P35" s="8">
        <v>1</v>
      </c>
      <c r="Q35" s="3" t="s">
        <v>60</v>
      </c>
      <c r="R35" s="8">
        <v>1</v>
      </c>
      <c r="S35" s="3" t="s">
        <v>279</v>
      </c>
      <c r="T35" s="8">
        <v>0</v>
      </c>
      <c r="U35" s="5" t="s">
        <v>39</v>
      </c>
      <c r="V35" s="9">
        <v>0</v>
      </c>
      <c r="W35" s="3" t="s">
        <v>28</v>
      </c>
      <c r="X35" s="8">
        <v>1</v>
      </c>
      <c r="Y35" s="3" t="s">
        <v>40</v>
      </c>
      <c r="Z35" s="13">
        <v>1</v>
      </c>
      <c r="AA35" s="3">
        <v>37</v>
      </c>
      <c r="AB35" s="8">
        <v>1</v>
      </c>
      <c r="AC35" s="5" t="s">
        <v>245</v>
      </c>
      <c r="AD35" s="13">
        <v>0</v>
      </c>
      <c r="AE35" s="3" t="s">
        <v>246</v>
      </c>
      <c r="AF35" s="13">
        <v>0</v>
      </c>
      <c r="AG35" s="3" t="s">
        <v>266</v>
      </c>
      <c r="AH35" s="8">
        <v>0</v>
      </c>
      <c r="AI35" s="3" t="s">
        <v>52</v>
      </c>
      <c r="AJ35" s="8">
        <v>0</v>
      </c>
      <c r="AK35" s="3" t="s">
        <v>117</v>
      </c>
      <c r="AL35" s="8">
        <v>1</v>
      </c>
      <c r="AM35" s="18">
        <f t="shared" si="0"/>
        <v>7</v>
      </c>
      <c r="AN35" s="6" t="s">
        <v>280</v>
      </c>
    </row>
  </sheetData>
  <phoneticPr fontId="3" type="noConversion"/>
  <hyperlinks>
    <hyperlink ref="AN2" r:id="rId1" xr:uid="{00000000-0004-0000-0000-000000000000}"/>
    <hyperlink ref="AN3" r:id="rId2" xr:uid="{00000000-0004-0000-0000-000001000000}"/>
    <hyperlink ref="AN4" r:id="rId3" xr:uid="{00000000-0004-0000-0000-000002000000}"/>
    <hyperlink ref="AN5" r:id="rId4" xr:uid="{00000000-0004-0000-0000-000003000000}"/>
    <hyperlink ref="AN6" r:id="rId5" xr:uid="{00000000-0004-0000-0000-000004000000}"/>
    <hyperlink ref="AN7" r:id="rId6" location="scrollTo=P_o4S9Maakge" xr:uid="{00000000-0004-0000-0000-000005000000}"/>
    <hyperlink ref="AN8" r:id="rId7" xr:uid="{00000000-0004-0000-0000-000006000000}"/>
    <hyperlink ref="AN9" r:id="rId8" xr:uid="{00000000-0004-0000-0000-000007000000}"/>
    <hyperlink ref="AN10" r:id="rId9" xr:uid="{00000000-0004-0000-0000-000008000000}"/>
    <hyperlink ref="AN11" r:id="rId10" xr:uid="{00000000-0004-0000-0000-000009000000}"/>
    <hyperlink ref="AN12" r:id="rId11" xr:uid="{00000000-0004-0000-0000-00000A000000}"/>
    <hyperlink ref="AN13" r:id="rId12" xr:uid="{00000000-0004-0000-0000-00000B000000}"/>
    <hyperlink ref="AN14" r:id="rId13" xr:uid="{00000000-0004-0000-0000-00000C000000}"/>
    <hyperlink ref="AN15" r:id="rId14" xr:uid="{00000000-0004-0000-0000-00000D000000}"/>
    <hyperlink ref="AN16" r:id="rId15" xr:uid="{00000000-0004-0000-0000-00000E000000}"/>
    <hyperlink ref="AN17" r:id="rId16" xr:uid="{00000000-0004-0000-0000-00000F000000}"/>
    <hyperlink ref="AN18" r:id="rId17" xr:uid="{00000000-0004-0000-0000-000010000000}"/>
    <hyperlink ref="AN19" r:id="rId18" location="scrollTo=ZwFfWonAZkgZ" xr:uid="{00000000-0004-0000-0000-000011000000}"/>
    <hyperlink ref="AN20" r:id="rId19" xr:uid="{00000000-0004-0000-0000-000012000000}"/>
    <hyperlink ref="AN21" r:id="rId20" location="scrollTo=P_o4S9Maakge" xr:uid="{00000000-0004-0000-0000-000013000000}"/>
    <hyperlink ref="AN22" r:id="rId21" xr:uid="{00000000-0004-0000-0000-000014000000}"/>
    <hyperlink ref="AN23" r:id="rId22" xr:uid="{00000000-0004-0000-0000-000015000000}"/>
    <hyperlink ref="AN24" r:id="rId23" xr:uid="{00000000-0004-0000-0000-000016000000}"/>
    <hyperlink ref="AN25" r:id="rId24" xr:uid="{00000000-0004-0000-0000-000017000000}"/>
    <hyperlink ref="AN26" r:id="rId25" xr:uid="{00000000-0004-0000-0000-000018000000}"/>
    <hyperlink ref="AN27" r:id="rId26" xr:uid="{00000000-0004-0000-0000-000019000000}"/>
    <hyperlink ref="AN28" r:id="rId27" xr:uid="{00000000-0004-0000-0000-00001A000000}"/>
    <hyperlink ref="AN29" r:id="rId28" xr:uid="{00000000-0004-0000-0000-00001B000000}"/>
    <hyperlink ref="AN30" r:id="rId29" xr:uid="{00000000-0004-0000-0000-00001C000000}"/>
    <hyperlink ref="AN31" r:id="rId30" xr:uid="{00000000-0004-0000-0000-00001D000000}"/>
    <hyperlink ref="AN32" r:id="rId31" xr:uid="{00000000-0004-0000-0000-00001E000000}"/>
    <hyperlink ref="AN33" r:id="rId32" xr:uid="{00000000-0004-0000-0000-00001F000000}"/>
    <hyperlink ref="AN34" r:id="rId33" xr:uid="{00000000-0004-0000-0000-000020000000}"/>
    <hyperlink ref="AN35" r:id="rId34" xr:uid="{00000000-0004-0000-0000-000021000000}"/>
  </hyperlinks>
  <pageMargins left="0.7" right="0.7" top="0.75" bottom="0.75" header="0.3" footer="0.3"/>
  <tableParts count="1"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 DE OLIVEIRA</cp:lastModifiedBy>
  <dcterms:created xsi:type="dcterms:W3CDTF">2026-04-24T14:58:43Z</dcterms:created>
  <dcterms:modified xsi:type="dcterms:W3CDTF">2026-04-24T15:14:48Z</dcterms:modified>
</cp:coreProperties>
</file>