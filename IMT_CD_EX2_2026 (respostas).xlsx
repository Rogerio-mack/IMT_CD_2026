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ano_2026S1\CD\"/>
    </mc:Choice>
  </mc:AlternateContent>
  <xr:revisionPtr revIDLastSave="0" documentId="13_ncr:1_{6346557E-4F24-4A48-84DC-B89542AE7DF1}" xr6:coauthVersionLast="47" xr6:coauthVersionMax="47" xr10:uidLastSave="{00000000-0000-0000-0000-000000000000}"/>
  <bookViews>
    <workbookView xWindow="-120" yWindow="-120" windowWidth="20730" windowHeight="11040" xr2:uid="{00000000-000D-0000-FFFF-FFFF00000000}"/>
  </bookViews>
  <sheets>
    <sheet name="Respostas ao formulário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alcChain>
</file>

<file path=xl/sharedStrings.xml><?xml version="1.0" encoding="utf-8"?>
<sst xmlns="http://schemas.openxmlformats.org/spreadsheetml/2006/main" count="287" uniqueCount="217">
  <si>
    <t>Carimbo de data/hora</t>
  </si>
  <si>
    <t>Endereço de e-mail</t>
  </si>
  <si>
    <t xml:space="preserve">Nome
</t>
  </si>
  <si>
    <t xml:space="preserve">RA
</t>
  </si>
  <si>
    <t>Q1. Responda com o valor da soma (ver notebook).</t>
  </si>
  <si>
    <t>Q2. Responda com o valor da soma (ver notebook).</t>
  </si>
  <si>
    <t>Q3. Responda a lista dos maiores geradores no formato:
&lt;país&gt;:(&lt;ano-inicial&gt;,&lt;ano-final&gt;)
&lt;país&gt;:(&lt;ano-inicial&gt;,&lt;ano-final&gt;)
...
exemplo:
croatia:(1985,1989);luxembourg:(1990,2001)</t>
  </si>
  <si>
    <t>Q4. Encontram-se entre os 80% maiores geradores os países:
(assinale TODAS que se aplicam)</t>
  </si>
  <si>
    <t>Q5.  Responda com o valor da correlação encontrada (ver notebook)</t>
  </si>
  <si>
    <t>Q6.  O que você pode dizer a partir do valor de correlação encontrado?</t>
  </si>
  <si>
    <t xml:space="preserve">Poste aqui o link do seu notebook Colab compartilhado como público no seu Drive.
Ex. 
https://colab.research.google.com/drive/1cJJWfFTIJ_iWYw7t1VPlPOFBsv9XsCWF#scrollTo=edfpleAbtOzo
</t>
  </si>
  <si>
    <t>22.01128-5@maua.br</t>
  </si>
  <si>
    <t>Sergio Guidi Trovo</t>
  </si>
  <si>
    <t>22.01128-5</t>
  </si>
  <si>
    <t>united_states:(1985,2010);china:(2011,2024)</t>
  </si>
  <si>
    <t>us, índia, brazil, china, iran, mexico, australia, taiwan, germany</t>
  </si>
  <si>
    <t>O valor aponta para uma correlação positiva bastante intensa. Como é positivo, indica que as duas variáveis se movem na mesma direção: quando a geração de energia elétrica cresce, as emissões de CO₂ também tendem a crescer de forma proporcional.</t>
  </si>
  <si>
    <t>https://colab.research.google.com/drive/13xfS59AkolO5NRial-UcamRkMFCcf2hG?usp=sharing</t>
  </si>
  <si>
    <t>enricosantarelli@hotmail.com</t>
  </si>
  <si>
    <t>Enrico Mota Santarelli</t>
  </si>
  <si>
    <t>22.00370-3</t>
  </si>
  <si>
    <t>O valor indica uma correlação positiva muito forte. Por ser positivo, significa que as variáveis caminham no mesmo sentido. Quando a geração de energia elétrica aumenta, as emissões de CO2 tendem a aumentar na mesma proporção. Qualquer valor acima de 0.90 é considerado uma relação quase linear perfeita.</t>
  </si>
  <si>
    <t>https://colab.research.google.com/drive/1H_m5PFt_NxJ8xOaayJ8QHhaBYMS8TBTy?usp=sharing</t>
  </si>
  <si>
    <t>22.00952-3@maua.br</t>
  </si>
  <si>
    <t>Leonardo Galdi Fiorese</t>
  </si>
  <si>
    <t>22.00952-3</t>
  </si>
  <si>
    <t>us, índia, brazil, china, iran, mexico</t>
  </si>
  <si>
    <t>O valor de correlação é alto, o que indica que quando a geração de energia sobe, as emissões de CO2 sobem quase linearmente</t>
  </si>
  <si>
    <t>https://colab.research.google.com/drive/12gPINp22U2vGUb9IYPLtTrSgNGEv7K_H?usp=sharing</t>
  </si>
  <si>
    <t>22.00833-0@maua.br</t>
  </si>
  <si>
    <t>Fernando Minharro Alves Gimenez</t>
  </si>
  <si>
    <t>22.00833-0</t>
  </si>
  <si>
    <t>Avaliando a correlação apresentada dos maiores produtores de energia de 2019, é possível afirmar que a geração de energia elétrica esta fortemente ligada a emissão de gás CO2.</t>
  </si>
  <si>
    <t>https://colab.research.google.com/drive/1necso1BOIaNEc2Bck7OFVivlZXhwXQoe?usp=sharing</t>
  </si>
  <si>
    <t>fosakae@gmail.com</t>
  </si>
  <si>
    <t>Felipe Kenzo Ohara Sakae</t>
  </si>
  <si>
    <t>22.00815-2</t>
  </si>
  <si>
    <t>croatia:(1985,1989);luxembourg:(1990,2001)</t>
  </si>
  <si>
    <t>np.float64(0.96347)</t>
  </si>
  <si>
    <t>Como o valor é muito próximo de 1, ele mostra que existe uma correlação para os grandes produtores mundiais entre gerar mais eletricidade e emitir mais CO2 . Isso mostra a dependência de fontes de combustível fóssil nessas economias.</t>
  </si>
  <si>
    <t>https://colab.research.google.com/drive/1aTLTq8d5i3sVoov6t8QsqJHIGPR_vt48?usp=sharing</t>
  </si>
  <si>
    <t>20.00395-0@maua.br</t>
  </si>
  <si>
    <t>Breno Amorim Roman</t>
  </si>
  <si>
    <t>20.00395-0</t>
  </si>
  <si>
    <t>Um resultado de aproximadamente 0.96 indica uma forte correlação linear positiva, isso determina que a variância de uma variável acompanha a variância da outra de forma altamente previsível, ou seja, quando uma aumenta, a outra aumenta proporcionalmente.</t>
  </si>
  <si>
    <t>https://colab.research.google.com/drive/1bAE8qwUingpvi1TFbSdwxMTYxXROIsBy?usp=sharing</t>
  </si>
  <si>
    <t>21.00122-77@maua.br</t>
  </si>
  <si>
    <t>Bruno Giannini Loffreda</t>
  </si>
  <si>
    <t>21.00122-7</t>
  </si>
  <si>
    <t>Nota-se uma forte correlação entre os maiores produtores de energia e os maiores emissores de CO2 para o período analisado</t>
  </si>
  <si>
    <t>https://drive.google.com/file/d/1-iviVDrtlZx2msydgcXOZQMkKUltgIGK/view?usp=sharing</t>
  </si>
  <si>
    <t>murillostrina127@gmail.com</t>
  </si>
  <si>
    <t>Murillo Penha Strina</t>
  </si>
  <si>
    <t>22.00730-0</t>
  </si>
  <si>
    <t>O valor de 0.96347 indica uma correlação entre emissões de CO2 e geração de energia elétrica nos 3 maiores produtores (China, EUA, Índia). Isso significa que, quanto mais energia elétrica esses países produziram, maiores foram suas emissões de CO2, sendo um reflexo de uma matriz energética predominantemente baseada em combustíveis fósseis no período analisado.</t>
  </si>
  <si>
    <t>https://colab.research.google.com/drive/1PPTVdZWMdp2zXZlsIFwTN_DpnmKdZTSL?usp=sharing</t>
  </si>
  <si>
    <t>leonardo.amadio4@gmail.com</t>
  </si>
  <si>
    <t>Leonardo Roberto Amadio</t>
  </si>
  <si>
    <t>22.01300-8</t>
  </si>
  <si>
    <t>O alto valor de correlação positia demonstra que o crescimento da geração de energia elétrica na China, Estados Unidos e Índia esteve historicamente atrelado à queima intensa de combustíveis fósseis, como o carão mineral e gás natural. Isso significa que a expansão energética desses países nas últimas décadas custou um aumento proporcional nas emissões de CO2, evidenciando o grande desafio global de realizar uma transição acelerada para matrizes limpas a fim de quebrar essa dependência posteriormente.</t>
  </si>
  <si>
    <t>https://colab.research.google.com/drive/1ZoMdrY7nXJJWQGqQqHTQEKJ7bhBATWBY?usp=sharing</t>
  </si>
  <si>
    <t>lucascrapino@gmail.com</t>
  </si>
  <si>
    <t>Lucas Gozze Crapino</t>
  </si>
  <si>
    <t>22.00667-2</t>
  </si>
  <si>
    <t>O valor 0.96347 indica que há uma correlação linear positiva muito forte. A partir desse valor, pode-se afirmar que o aumento na geração de energia elétrica nesses três países está intimamente ligado com o aumento de suas emissões de CO2.</t>
  </si>
  <si>
    <t>https://colab.research.google.com/drive/1n0kcA59wyTCP1ZarqCXYGIF-8lVz4wPi?usp=sharing</t>
  </si>
  <si>
    <t>22.01432-2@maua.br</t>
  </si>
  <si>
    <t>Rodrigo Reis Monasterios Morales</t>
  </si>
  <si>
    <t>22.01432-2</t>
  </si>
  <si>
    <t>A correlação de 0.96303 indica uma relação positiva e muito forte entre a geração de energia elétrica e as emissões de CO2. Isso sugere que, para os dados analisados, um aumento na produção de eletricidade está diretamente associado a um aumento significativo nas emissões de CO2, provavelmente devido à dependência de fontes de energia que liberam carbono.</t>
  </si>
  <si>
    <t>https://colab.research.google.com/drive/1wfjAVpfsjOhPymouqzOCv9_WJyXw_Jm5?usp=sharing</t>
  </si>
  <si>
    <t>vinicius.gdechechi@gmail.com</t>
  </si>
  <si>
    <t>Vinicius Garcia Imendes Dechechi</t>
  </si>
  <si>
    <t>22.01568-0</t>
  </si>
  <si>
    <t>us, índia, brazil, australia, taiwan, germany, south_korea, indonesia, ukraine, russian_federation, japan, norway</t>
  </si>
  <si>
    <t>O valor de correlação (0.9452) indica uma relação fortemente positiva entre a geração de energia elétrica e as emissões de CO2. Isso sugere que países com maior produção de energia elétrica também apresentam maiores níveis de emissão, refletindo a dependência de fontes energéticas baseadas em combustíveis fósseis.</t>
  </si>
  <si>
    <t>https://colab.research.google.com/drive/1grFPyc4K8sOGbJR11j00phwoIPL1jIwX?usp=sharing</t>
  </si>
  <si>
    <t>edfeherr@gmail.com</t>
  </si>
  <si>
    <t>Estevan Feher</t>
  </si>
  <si>
    <t>21.00586-9</t>
  </si>
  <si>
    <t>Existe uma relação altamente proporcional entre geração de energia elétrica e emissões de CO₂.</t>
  </si>
  <si>
    <t>https://colab.research.google.com/drive/1fKQlQsJdG09PIa2TXjXZIwXtAROPV7MI?usp=sharing</t>
  </si>
  <si>
    <t>22.00571-4@maua.br</t>
  </si>
  <si>
    <t>Otto Camargo Kuchkarian</t>
  </si>
  <si>
    <t>22.00571-4</t>
  </si>
  <si>
    <t>Correlação alta indica que mais energia gera mais CO₂ e revela dependência de combustíveis fósseis</t>
  </si>
  <si>
    <t>https://colab.research.google.com/drive/1mV-KN3-FpHUW4_xSJHEmQy1A3hKnyrPc?usp=sharing</t>
  </si>
  <si>
    <t>acramin@gmail.com</t>
  </si>
  <si>
    <t>Amanda Carolina Ambrizzi Ramin</t>
  </si>
  <si>
    <t>22.00721-0</t>
  </si>
  <si>
    <t>Há uma correlação positiva forte entre geração de energia elétrica e emissões de CO2 no recorte analisado. Isso indica que, quando a geração aumenta, as emissões tendem a aumentar também; porém, correlação não implica causalidade.</t>
  </si>
  <si>
    <t>https://colab.research.google.com/drive/19spGVTtqzDhNqhsLJudRlGGtHM2b60oO#scrollTo=wFtlxaq4IPGm</t>
  </si>
  <si>
    <t>21.00634-2@maua.br</t>
  </si>
  <si>
    <t>Rafael Maciel Bertani</t>
  </si>
  <si>
    <t>21.00634-2</t>
  </si>
  <si>
    <t>O valor indica uma correlação linear positiva muito forte entre geração de energia elétrica e emissões de gás carbônico.</t>
  </si>
  <si>
    <t>https://colab.research.google.com/drive/1dATO9TRvAUaghYJ_cOqwFmGTe7c4WVGU?usp=sharing</t>
  </si>
  <si>
    <t>andreprino0@gmail.com</t>
  </si>
  <si>
    <t>André Freire Prino</t>
  </si>
  <si>
    <t>21.00476-5</t>
  </si>
  <si>
    <t>A correlação de 0,96347 indica uma relação positiva muito forte entre geração de energia elétrica e emissões de CO2. Em geral, quando a geração aumenta, as emissões também aumentam. Isso sugere dependência relevante de fontes energéticas com maior emissão de carbono.</t>
  </si>
  <si>
    <t>https://colab.research.google.com/drive/1RHbzKX3qoqqSOGX3t7jjsh7hicuReZfg?usp=sharing#scrollTo=J1wYuB4oc1Yx</t>
  </si>
  <si>
    <t>19.02012-0@maua.br</t>
  </si>
  <si>
    <t>André Solano Ferreira Rodrigues Maiolini</t>
  </si>
  <si>
    <t>19.02012-0</t>
  </si>
  <si>
    <t>O valor de correlação de 0,96347 indica uma relação linear positiva extremamente forte, revelando que o aumento na geração de energia elétrica esteve quase perfeitamente acoplado ao crescimento das emissões de CO2 nos maiores produtores mundiais desde 1985. Essa proximidade da unidade sugere uma dependência histórica predominante de combustíveis fósseis na matriz energética desses países, onde a expansão da capacidade produtiva resultou em uma elevação proporcional e previsível da pegada de carbono, evidenciando o desafio da descarbonização diante do crescimento da demanda energética.</t>
  </si>
  <si>
    <t>https://colab.research.google.com/drive/1AoBD_IoFbnqk1fiFEad0GdeWKphwENyk?usp=sharing</t>
  </si>
  <si>
    <t>22.00787-3@maua.br</t>
  </si>
  <si>
    <t>Pedro Campos Dec</t>
  </si>
  <si>
    <t>22.00787-3</t>
  </si>
  <si>
    <t>O valor encontrado indica uma correlação forte, uma vez que o valor é próximo de 1.0 que seria uma correlação perfeitamente linear</t>
  </si>
  <si>
    <t>https://colab.research.google.com/drive/1tN6HUsinmsuT8Jyq2w19fL11eR-Hfx1I?usp=sharing</t>
  </si>
  <si>
    <t>guimartins10sp@gmail.com</t>
  </si>
  <si>
    <t>Guilherme Martins Souza Paula</t>
  </si>
  <si>
    <t>22.00006-2</t>
  </si>
  <si>
    <t>Existe uma relação quase direta entre as duas variáveis.Indicando que sempre que a geração de energia subiu, as emissões de Co2 acompanharam o ritmo quase na mesma proporção</t>
  </si>
  <si>
    <t>https://colab.research.google.com/drive/1Kfi8ZrmYM4k-fntljjnkLmhewRIXsZZm?usp=sharing</t>
  </si>
  <si>
    <t>22.00170-0@maua.br</t>
  </si>
  <si>
    <t>Leonardo Tagliati da Silva</t>
  </si>
  <si>
    <t>22.00170-0</t>
  </si>
  <si>
    <t>united_states:(1985,2010);china(2011,2024)</t>
  </si>
  <si>
    <t>há uma relação consistente entre geração de eletricidade e emissões de CO₂ ao longo do período analisado, indicando que o crescimento da produção energética, implica aumento proporcional nas emissões.</t>
  </si>
  <si>
    <t>https://colab.research.google.com/drive/1zhrFswF5uMtUOEdYa5DN-BcwWTbRY42s?usp=sharing</t>
  </si>
  <si>
    <t>20.00628-4@maua.br</t>
  </si>
  <si>
    <t>Matheus Santos Feitosa</t>
  </si>
  <si>
    <t>20.00628-4</t>
  </si>
  <si>
    <t>O valor encontrado indica uma correlação positiva muito forte entre as emissões de CO2 e a geração de energia elétrica. Isso sugere que, para os 3 maiores produtores analisados, à medida que a geração de energia aumenta, as emissões de CO2 também tendem a aumentar. No entanto, correlação não implica causalidade, apenas mostra que as duas variáveis apresentam forte associação no período observado.</t>
  </si>
  <si>
    <t>https://colab.research.google.com/drive/1R12jS8mt6AB6wLLx8l0iklJQCrMWMYfr?usp=sharing</t>
  </si>
  <si>
    <t>leohdmoura@gmail.com</t>
  </si>
  <si>
    <t>Leonardo Henrique Dias Moura</t>
  </si>
  <si>
    <t>21.01837-5</t>
  </si>
  <si>
    <t>A correlação encontrada é muito forte entre emissão de CO2 e geração de energia elétrica para os 3 maiores produtores. Isso significa que para esses países, as emissões tendem a aumentar a medida que a geração de eletricidade aumenta.</t>
  </si>
  <si>
    <t>https://colab.research.google.com/drive/1EeOjQEp7GS6QcrlhjXbxvhgVLIkjWIPK?usp=sharing</t>
  </si>
  <si>
    <t>giurtumoli@hotmail.com</t>
  </si>
  <si>
    <t>Giuliano Rodrigues Tumoli</t>
  </si>
  <si>
    <t>21.00036-0</t>
  </si>
  <si>
    <t>existe uma relação direta e muito forte entre produzir mais energia elétrica e emitir mais CO2 nesses países</t>
  </si>
  <si>
    <t>https://colab.research.google.com/drive/1BIDiwVPMJt57wkoyZLqq-5TB8uIGrbh-?usp=sharing</t>
  </si>
  <si>
    <t>22.00085-2@maua.br</t>
  </si>
  <si>
    <t>João Vitor Marques Ferrenha Cerqueira</t>
  </si>
  <si>
    <t>22.00085-2</t>
  </si>
  <si>
    <t>Correlação muito forte entre geração de energia elétrica e emissões de CO2, o que pode indicar que países que aumentar a produçaõ de energia tendem a aumentar sua emissões</t>
  </si>
  <si>
    <t>https://colab.research.google.com/drive/1xTKNJB_dOAJo2c7jpkJNx_9hmpemn6Px?usp=sharing</t>
  </si>
  <si>
    <t>22.01464-0@maua.br</t>
  </si>
  <si>
    <t>Rafael Assanti</t>
  </si>
  <si>
    <t>22.01464-0</t>
  </si>
  <si>
    <t xml:space="preserve">Há uma alta correlação positiva entre os maiores geradores de energia e os maiores geradores de emissões de CO2 </t>
  </si>
  <si>
    <t>https://colab.research.google.com/drive/1pxr0dXYXpgaGFrTRIvTp5JQZX7kCHDyZ?usp=sharing</t>
  </si>
  <si>
    <t>22.01339-3@maua.br</t>
  </si>
  <si>
    <t>André Felipe Silva Xavier</t>
  </si>
  <si>
    <t>22.01339-3</t>
  </si>
  <si>
    <t>Há uma correlação positiva forte entre as emissões de CO2 e a geração de energia elétrica, no período de 1985 até os dados mais recentes, dos 3 maiores produtores de energia elétrica em 2019.</t>
  </si>
  <si>
    <t>https://colab.research.google.com/drive/1rjlTjgi9zNXrr088-soof0MQxP9x0ebN?usp=sharing</t>
  </si>
  <si>
    <t>21.01660-7@maua.br</t>
  </si>
  <si>
    <t>Rodrigo Fernandes Faltz</t>
  </si>
  <si>
    <t>21.01660-7</t>
  </si>
  <si>
    <t>Forte correlação positiva</t>
  </si>
  <si>
    <t>https://colab.research.google.com/drive/1g1Z9yMXnRdVRkFSJvYHpu3IKtjCsjnjz?usp=sharing</t>
  </si>
  <si>
    <t>22.00522-6@maua.br</t>
  </si>
  <si>
    <t>Guilherme Thomasi Ronca</t>
  </si>
  <si>
    <t>22.00522-6</t>
  </si>
  <si>
    <t>Uma correlação de 0,9452 indica uma relação muito forte e positiva entre a geração de energia elétrica e as emissões de CO2, sugerindo que o aumento da produção de energia está fortemente associado ao aumento das emissões, que pode refletir uma alta dependência de combustíveis fósseis na matriz energética.</t>
  </si>
  <si>
    <t>https://colab.research.google.com/drive/1ygo1ND6QNA4HmNDPYYrnB7HELBg0SD0n?usp=sharing</t>
  </si>
  <si>
    <t>22.00921-3@maua.br</t>
  </si>
  <si>
    <t>Lucas Castanho Paganotto Carvalho</t>
  </si>
  <si>
    <t>22.00921-3</t>
  </si>
  <si>
    <t>A correlação de 0,96347 indica uma relação positiva quase perfeita entre a geração de eletricidade e as emissões de CO2 nos três principais produtores de 2019. Na prática, isso revela uma forte dependência direta: o aumento na produção energética gera um crescimento proporcional e consistente de poluentes, evidenciando que a matriz elétrica desses países ainda é amplamente baseada em combustíveis fósseis.</t>
  </si>
  <si>
    <t>https://colab.research.google.com/drive/1qyS2WoK2OMZh4rEf2MpR7bSYnE2R5iNL?usp=sharing</t>
  </si>
  <si>
    <t>22.01519-0@maua.br</t>
  </si>
  <si>
    <t>Arthur Jin Woo Lee</t>
  </si>
  <si>
    <t>22.01519-0</t>
  </si>
  <si>
    <t>united_states:(1993,2010);china:(2011,2024)</t>
  </si>
  <si>
    <t>Segundo o valor de correlação encontrado, pode-se dizer que a medida que a geração de energia aumenta em um pais, suas emissões de CO2 aumentão de forma proporcional</t>
  </si>
  <si>
    <t>https://colab.research.google.com/drive/1THnCOtXJB_hGj0rxpopAEAMcu7KwUpss?usp=sharing</t>
  </si>
  <si>
    <t>22.01097-0@maua.br</t>
  </si>
  <si>
    <t>Durval Consorti Soranz de Barros Santos</t>
  </si>
  <si>
    <t>22.01097-0</t>
  </si>
  <si>
    <t>O coeficiente de 0.96347 indica uma relação linear positiva quase perfeita. Nos dados analisados, o aumento na geração elétrica resultou em crescimento estritamente proporcional nas emissões de CO2. Desde 1985, produzir mais energia significou poluir proporcionalmente mais.</t>
  </si>
  <si>
    <t>https://colab.research.google.com/drive/1Cx0zCJL3vc9pEvlQHJqUe9VQgA6ehnk-?usp=sharing</t>
  </si>
  <si>
    <t>22.01255-9@maua.br</t>
  </si>
  <si>
    <t>André Renato Almeida Abreu</t>
  </si>
  <si>
    <t>22.01255-9</t>
  </si>
  <si>
    <t>É possível dizer que existe uma correlação forte entre os valores de geração de energia elétrica e emissão de CO2 porque o valor de correlação é muito próximo de 1, porém isso não necessariamente implica causalidade.</t>
  </si>
  <si>
    <t>https://colab.research.google.com/drive/1B55cfM4Bx7YEg6nC47PzEFdf5UxY_api?usp=sharing</t>
  </si>
  <si>
    <t>21.00322-0@maua.br</t>
  </si>
  <si>
    <t>Luis Gustavo Gonçalves MAchado</t>
  </si>
  <si>
    <t>21.00322-0</t>
  </si>
  <si>
    <t>O valor de correlação deu 0,9452, bem próximo de 1. Isso mostra uma relação positiva bem forte.  Na prática, significa que, nos três maiores produtores de energia de 2019 (China, Índia e Japão), sempre que aumentou a geração de eletricidade desde 1985, as emissões de CO2 também cresceram junto. Ou seja, esses países dependeram muito de fontes poluentes, como carvão e gás, para atender ao aumento da demanda por energia elétrica nesse período todo.</t>
  </si>
  <si>
    <t>https://colab.research.google.com/drive/1qt_HShdu2qkUKRxEV_BcKwNPPu8fDOGl?usp=sharing</t>
  </si>
  <si>
    <t>lucas.olivares.borges@gmail.com</t>
  </si>
  <si>
    <t>Lucas Olivares Borges da Silva</t>
  </si>
  <si>
    <t>22.00889-6</t>
  </si>
  <si>
    <t>Existe uma forte relação entre a geração de energia elétrica e as emissões de CO2 para a China, Estados Unidos e Índia. Isso sugere que esses países tiveram grande dependência de energias fósseis.</t>
  </si>
  <si>
    <t>https://colab.research.google.com/drive/1GwmaN8MatUEeXkwCpFOLOISwqkuN64X7?usp=sharing</t>
  </si>
  <si>
    <t>jpbr2004@gmail.com</t>
  </si>
  <si>
    <t>João Paulo Bonagurio Ramirez</t>
  </si>
  <si>
    <t>22.01247-8</t>
  </si>
  <si>
    <t>np.float64(0.9452)</t>
  </si>
  <si>
    <t xml:space="preserve">Em estatística, esse valor indica uma correlação positiva muito forte ( já que o limite máximo é 1.0) entre a geração de energia elétrica e as emissões de CO2 </t>
  </si>
  <si>
    <t>https://colab.research.google.com/drive/1hCB5ziFewdf3Ngr6pNAXWaGvcbHn2XOb?usp=sharing</t>
  </si>
  <si>
    <t>22.00856-0@maua.br</t>
  </si>
  <si>
    <t>Tiago Tadeu de Azevedo</t>
  </si>
  <si>
    <t>22.00856-0</t>
  </si>
  <si>
    <t>O valor de correlação de aproximadamente 0,945 indica uma relação positiva extremamente forte, sugerindo que, para os três maiores produtores mundiais, o crescimento na geração de energia elétrica esteve historicamente e diretamente atrelado ao aumento das emissões de CO2, o que reflete uma matriz energética ainda dependente de combustíveis fósseis durante o período analisado.</t>
  </si>
  <si>
    <t>https://colab.research.google.com/drive/1DJ_2FskeYWUXbRCTQKf_G0oT8qPK18PS?usp=sharing</t>
  </si>
  <si>
    <t>22.00765-2@maua.br</t>
  </si>
  <si>
    <t>Victor Augusto de Gasperi</t>
  </si>
  <si>
    <t>22.00765-2</t>
  </si>
  <si>
    <t>Como existe um alto grau de correlação entre o volume de emissão de CO2 e a produção de energia elétrica, é possível identificar que os 3 países maiores produtores de energia elétrica em 2019 possuem um alto grau de dependência de produção de energia elétrica por queima de combustíveis fósseis</t>
  </si>
  <si>
    <t>https://colab.research.google.com/drive/1j-jQ3FoUJQwYAB6pWdT58nF0h4thakV8?usp=sharing</t>
  </si>
  <si>
    <t>Q1</t>
  </si>
  <si>
    <t>Q2</t>
  </si>
  <si>
    <t>Q3</t>
  </si>
  <si>
    <t>Q4</t>
  </si>
  <si>
    <t>Q5</t>
  </si>
  <si>
    <t>Q6</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</si>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</sst>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family val="2"/>
      <scheme val="minor"/>
    </font>
    <font>
      <u/>
      <sz val="10"/>
      <color rgb="FF0000FF"/>
      <name val="Roboto"/>
    </font>
    <font>
      <sz val="8"/>
      <name val="Arial"/>
      <family val="2"/>
      <scheme val="minor"/>
    </font>
    <font>
      <b/>
      <sz val="10"/>
      <color theme="1"/>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3" fontId="1" fillId="0" borderId="0" xfId="0" applyNumberFormat="1" applyFont="1" applyAlignment="1">
      <alignment vertical="center"/>
    </xf>
    <xf numFmtId="0" fontId="2" fillId="0" borderId="0" xfId="0" applyFont="1" applyAlignment="1">
      <alignment vertical="center"/>
    </xf>
    <xf numFmtId="2" fontId="1" fillId="0" borderId="0" xfId="0" applyNumberFormat="1" applyFont="1" applyAlignment="1">
      <alignment horizontal="center" vertical="center"/>
    </xf>
    <xf numFmtId="1" fontId="1" fillId="0" borderId="0" xfId="0" applyNumberFormat="1" applyFont="1" applyAlignment="1">
      <alignment horizontal="center" vertical="center"/>
    </xf>
    <xf numFmtId="2" fontId="0" fillId="0" borderId="0" xfId="0" applyNumberFormat="1" applyAlignment="1">
      <alignment horizontal="center"/>
    </xf>
    <xf numFmtId="0" fontId="1" fillId="0" borderId="0" xfId="0" applyFont="1" applyAlignment="1">
      <alignment horizontal="center" vertical="center"/>
    </xf>
    <xf numFmtId="0" fontId="0" fillId="0" borderId="0" xfId="0" applyAlignment="1">
      <alignment horizontal="center"/>
    </xf>
    <xf numFmtId="3" fontId="1" fillId="0" borderId="0" xfId="0" applyNumberFormat="1"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xf>
  </cellXfs>
  <cellStyles count="1">
    <cellStyle name="Normal" xfId="0" builtinId="0"/>
  </cellStyles>
  <dxfs count="11">
    <dxf>
      <font>
        <b/>
        <i val="0"/>
        <strike val="0"/>
        <condense val="0"/>
        <extend val="0"/>
        <outline val="0"/>
        <shadow val="0"/>
        <u val="none"/>
        <vertAlign val="baseline"/>
        <sz val="10"/>
        <color theme="1"/>
        <name val="Arial"/>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center" vertical="center" textRotation="0" wrapText="0"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ostas ao formulário 1-style" pivot="0" count="4" xr9:uid="{00000000-0011-0000-FFFF-FFFF00000000}">
      <tableStyleElement type="wholeTable" size="0" dxfId="7"/>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39">
  <tableColumns count="18">
    <tableColumn id="1" xr3:uid="{00000000-0010-0000-0000-000001000000}" name="Carimbo de data/hora"/>
    <tableColumn id="2" xr3:uid="{00000000-0010-0000-0000-000002000000}" name="Endereço de e-mail"/>
    <tableColumn id="3" xr3:uid="{00000000-0010-0000-0000-000003000000}" name="Nome_x000a_"/>
    <tableColumn id="4" xr3:uid="{00000000-0010-0000-0000-000004000000}" name="RA_x000a_"/>
    <tableColumn id="5" xr3:uid="{00000000-0010-0000-0000-000005000000}" name="Q1. Responda com o valor da soma (ver notebook)."/>
    <tableColumn id="12" xr3:uid="{2914EE95-081B-42FA-B978-48572FAE1A74}" name="Q1" dataDxfId="6"/>
    <tableColumn id="6" xr3:uid="{00000000-0010-0000-0000-000006000000}" name="Q2. Responda com o valor da soma (ver notebook)."/>
    <tableColumn id="13" xr3:uid="{F6F704DF-F3BD-40B2-95D4-197EB8C462DF}" name="Q2" dataDxfId="5"/>
    <tableColumn id="7" xr3:uid="{00000000-0010-0000-0000-000007000000}" name="Q3. Responda a lista dos maiores geradores no formato:_x000a_&lt;país&gt;:(&lt;ano-inicial&gt;,&lt;ano-final&gt;)_x000a_&lt;país&gt;:(&lt;ano-inicial&gt;,&lt;ano-final&gt;)_x000a_..._x000a_exemplo:_x000a_croatia:(1985,1989);luxembourg:(1990,2001)"/>
    <tableColumn id="14" xr3:uid="{82E16467-0E10-4585-B3AA-FF4673A8E910}" name="Q3" dataDxfId="4"/>
    <tableColumn id="8" xr3:uid="{00000000-0010-0000-0000-000008000000}" name="Q4. Encontram-se entre os 80% maiores geradores os países:_x000a__x000a_(assinale TODAS que se aplicam)"/>
    <tableColumn id="15" xr3:uid="{478F645D-73AD-4B75-93BE-E53C27D6EA31}" name="Q4" dataDxfId="3"/>
    <tableColumn id="9" xr3:uid="{00000000-0010-0000-0000-000009000000}" name="Q5.  Responda com o valor da correlação encontrada (ver notebook)"/>
    <tableColumn id="16" xr3:uid="{23CC0094-4E79-4842-80BF-294D80488421}" name="Q5" dataDxfId="2"/>
    <tableColumn id="10" xr3:uid="{00000000-0010-0000-0000-00000A000000}" name="Q6.  O que você pode dizer a partir do valor de correlação encontrado?"/>
    <tableColumn id="18" xr3:uid="{DE6EDB67-416B-4725-A7E2-0F300D606DD1}" name="Q6" dataDxfId="1"/>
    <tableColumn id="19" xr3:uid="{AD7FD92F-0010-4200-842E-08F257E7376E}" name="Nota" dataDxfId="0">
      <calculatedColumnFormula>_xlfn.CEILING.MATH(SUM(F2,H2,J2,L2,N2,P2)/6*10,1)</calculatedColumnFormula>
    </tableColumn>
    <tableColumn id="11" xr3:uid="{00000000-0010-0000-0000-00000B000000}" name="Poste aqui o link do seu notebook Colab compartilhado como público no seu Drive._x000a__x000a_Ex. _x000a_https://colab.research.google.com/drive/1cJJWfFTIJ_iWYw7t1VPlPOFBsv9XsCWF#scrollTo=edfpleAbtOzo_x000a__x000a_"/>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olab.research.google.com/drive/1fKQlQsJdG09PIa2TXjXZIwXtAROPV7MI?usp=sharing" TargetMode="External"/><Relationship Id="rId18" Type="http://schemas.openxmlformats.org/officeDocument/2006/relationships/hyperlink" Target="https://colab.research.google.com/drive/1AoBD_IoFbnqk1fiFEad0GdeWKphwENyk?usp=sharing" TargetMode="External"/><Relationship Id="rId26" Type="http://schemas.openxmlformats.org/officeDocument/2006/relationships/hyperlink" Target="https://colab.research.google.com/drive/1pxr0dXYXpgaGFrTRIvTp5JQZX7kCHDyZ?usp=sharing" TargetMode="External"/><Relationship Id="rId39" Type="http://schemas.openxmlformats.org/officeDocument/2006/relationships/table" Target="../tables/table1.xml"/><Relationship Id="rId21" Type="http://schemas.openxmlformats.org/officeDocument/2006/relationships/hyperlink" Target="https://colab.research.google.com/drive/1zhrFswF5uMtUOEdYa5DN-BcwWTbRY42s?usp=sharing" TargetMode="External"/><Relationship Id="rId34" Type="http://schemas.openxmlformats.org/officeDocument/2006/relationships/hyperlink" Target="https://colab.research.google.com/drive/1qt_HShdu2qkUKRxEV_BcKwNPPu8fDOGl?usp=sharing" TargetMode="External"/><Relationship Id="rId7" Type="http://schemas.openxmlformats.org/officeDocument/2006/relationships/hyperlink" Target="https://drive.google.com/file/d/1-iviVDrtlZx2msydgcXOZQMkKUltgIGK/view?usp=sharing" TargetMode="External"/><Relationship Id="rId12" Type="http://schemas.openxmlformats.org/officeDocument/2006/relationships/hyperlink" Target="https://colab.research.google.com/drive/1grFPyc4K8sOGbJR11j00phwoIPL1jIwX?usp=sharing" TargetMode="External"/><Relationship Id="rId17" Type="http://schemas.openxmlformats.org/officeDocument/2006/relationships/hyperlink" Target="https://colab.research.google.com/drive/1RHbzKX3qoqqSOGX3t7jjsh7hicuReZfg?usp=sharing" TargetMode="External"/><Relationship Id="rId25" Type="http://schemas.openxmlformats.org/officeDocument/2006/relationships/hyperlink" Target="https://colab.research.google.com/drive/1xTKNJB_dOAJo2c7jpkJNx_9hmpemn6Px?usp=sharing" TargetMode="External"/><Relationship Id="rId33" Type="http://schemas.openxmlformats.org/officeDocument/2006/relationships/hyperlink" Target="https://colab.research.google.com/drive/1B55cfM4Bx7YEg6nC47PzEFdf5UxY_api?usp=sharing" TargetMode="External"/><Relationship Id="rId38" Type="http://schemas.openxmlformats.org/officeDocument/2006/relationships/hyperlink" Target="https://colab.research.google.com/drive/1j-jQ3FoUJQwYAB6pWdT58nF0h4thakV8?usp=sharing" TargetMode="External"/><Relationship Id="rId2" Type="http://schemas.openxmlformats.org/officeDocument/2006/relationships/hyperlink" Target="https://colab.research.google.com/drive/1H_m5PFt_NxJ8xOaayJ8QHhaBYMS8TBTy?usp=sharing" TargetMode="External"/><Relationship Id="rId16" Type="http://schemas.openxmlformats.org/officeDocument/2006/relationships/hyperlink" Target="https://colab.research.google.com/drive/1dATO9TRvAUaghYJ_cOqwFmGTe7c4WVGU?usp=sharing" TargetMode="External"/><Relationship Id="rId20" Type="http://schemas.openxmlformats.org/officeDocument/2006/relationships/hyperlink" Target="https://colab.research.google.com/drive/1Kfi8ZrmYM4k-fntljjnkLmhewRIXsZZm?usp=sharing" TargetMode="External"/><Relationship Id="rId29" Type="http://schemas.openxmlformats.org/officeDocument/2006/relationships/hyperlink" Target="https://colab.research.google.com/drive/1ygo1ND6QNA4HmNDPYYrnB7HELBg0SD0n?usp=sharing" TargetMode="External"/><Relationship Id="rId1" Type="http://schemas.openxmlformats.org/officeDocument/2006/relationships/hyperlink" Target="https://colab.research.google.com/drive/13xfS59AkolO5NRial-UcamRkMFCcf2hG?usp=sharing" TargetMode="External"/><Relationship Id="rId6" Type="http://schemas.openxmlformats.org/officeDocument/2006/relationships/hyperlink" Target="https://colab.research.google.com/drive/1bAE8qwUingpvi1TFbSdwxMTYxXROIsBy?usp=sharing" TargetMode="External"/><Relationship Id="rId11" Type="http://schemas.openxmlformats.org/officeDocument/2006/relationships/hyperlink" Target="https://colab.research.google.com/drive/1wfjAVpfsjOhPymouqzOCv9_WJyXw_Jm5?usp=sharing" TargetMode="External"/><Relationship Id="rId24" Type="http://schemas.openxmlformats.org/officeDocument/2006/relationships/hyperlink" Target="https://colab.research.google.com/drive/1BIDiwVPMJt57wkoyZLqq-5TB8uIGrbh-?usp=sharing" TargetMode="External"/><Relationship Id="rId32" Type="http://schemas.openxmlformats.org/officeDocument/2006/relationships/hyperlink" Target="https://colab.research.google.com/drive/1Cx0zCJL3vc9pEvlQHJqUe9VQgA6ehnk-?usp=sharing" TargetMode="External"/><Relationship Id="rId37" Type="http://schemas.openxmlformats.org/officeDocument/2006/relationships/hyperlink" Target="https://colab.research.google.com/drive/1DJ_2FskeYWUXbRCTQKf_G0oT8qPK18PS?usp=sharing" TargetMode="External"/><Relationship Id="rId5" Type="http://schemas.openxmlformats.org/officeDocument/2006/relationships/hyperlink" Target="https://colab.research.google.com/drive/1aTLTq8d5i3sVoov6t8QsqJHIGPR_vt48?usp=sharing" TargetMode="External"/><Relationship Id="rId15" Type="http://schemas.openxmlformats.org/officeDocument/2006/relationships/hyperlink" Target="https://colab.research.google.com/drive/19spGVTtqzDhNqhsLJudRlGGtHM2b60oO" TargetMode="External"/><Relationship Id="rId23" Type="http://schemas.openxmlformats.org/officeDocument/2006/relationships/hyperlink" Target="https://colab.research.google.com/drive/1EeOjQEp7GS6QcrlhjXbxvhgVLIkjWIPK?usp=sharing" TargetMode="External"/><Relationship Id="rId28" Type="http://schemas.openxmlformats.org/officeDocument/2006/relationships/hyperlink" Target="https://colab.research.google.com/drive/1g1Z9yMXnRdVRkFSJvYHpu3IKtjCsjnjz?usp=sharing" TargetMode="External"/><Relationship Id="rId36" Type="http://schemas.openxmlformats.org/officeDocument/2006/relationships/hyperlink" Target="https://colab.research.google.com/drive/1hCB5ziFewdf3Ngr6pNAXWaGvcbHn2XOb?usp=sharing" TargetMode="External"/><Relationship Id="rId10" Type="http://schemas.openxmlformats.org/officeDocument/2006/relationships/hyperlink" Target="https://colab.research.google.com/drive/1n0kcA59wyTCP1ZarqCXYGIF-8lVz4wPi?usp=sharing" TargetMode="External"/><Relationship Id="rId19" Type="http://schemas.openxmlformats.org/officeDocument/2006/relationships/hyperlink" Target="https://colab.research.google.com/drive/1tN6HUsinmsuT8Jyq2w19fL11eR-Hfx1I?usp=sharing" TargetMode="External"/><Relationship Id="rId31" Type="http://schemas.openxmlformats.org/officeDocument/2006/relationships/hyperlink" Target="https://colab.research.google.com/drive/1THnCOtXJB_hGj0rxpopAEAMcu7KwUpss?usp=sharing" TargetMode="External"/><Relationship Id="rId4" Type="http://schemas.openxmlformats.org/officeDocument/2006/relationships/hyperlink" Target="https://colab.research.google.com/drive/1necso1BOIaNEc2Bck7OFVivlZXhwXQoe?usp=sharing" TargetMode="External"/><Relationship Id="rId9" Type="http://schemas.openxmlformats.org/officeDocument/2006/relationships/hyperlink" Target="https://colab.research.google.com/drive/1ZoMdrY7nXJJWQGqQqHTQEKJ7bhBATWBY?usp=sharing" TargetMode="External"/><Relationship Id="rId14" Type="http://schemas.openxmlformats.org/officeDocument/2006/relationships/hyperlink" Target="https://colab.research.google.com/drive/1mV-KN3-FpHUW4_xSJHEmQy1A3hKnyrPc?usp=sharing" TargetMode="External"/><Relationship Id="rId22" Type="http://schemas.openxmlformats.org/officeDocument/2006/relationships/hyperlink" Target="https://colab.research.google.com/drive/1R12jS8mt6AB6wLLx8l0iklJQCrMWMYfr?usp=sharing" TargetMode="External"/><Relationship Id="rId27" Type="http://schemas.openxmlformats.org/officeDocument/2006/relationships/hyperlink" Target="https://colab.research.google.com/drive/1rjlTjgi9zNXrr088-soof0MQxP9x0ebN?usp=sharing" TargetMode="External"/><Relationship Id="rId30" Type="http://schemas.openxmlformats.org/officeDocument/2006/relationships/hyperlink" Target="https://colab.research.google.com/drive/1qyS2WoK2OMZh4rEf2MpR7bSYnE2R5iNL?usp=sharing" TargetMode="External"/><Relationship Id="rId35" Type="http://schemas.openxmlformats.org/officeDocument/2006/relationships/hyperlink" Target="https://colab.research.google.com/drive/1GwmaN8MatUEeXkwCpFOLOISwqkuN64X7?usp=sharing" TargetMode="External"/><Relationship Id="rId8" Type="http://schemas.openxmlformats.org/officeDocument/2006/relationships/hyperlink" Target="https://colab.research.google.com/drive/1PPTVdZWMdp2zXZlsIFwTN_DpnmKdZTSL?usp=sharing" TargetMode="External"/><Relationship Id="rId3" Type="http://schemas.openxmlformats.org/officeDocument/2006/relationships/hyperlink" Target="https://colab.research.google.com/drive/12gPINp22U2vGUb9IYPLtTrSgNGEv7K_H?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39"/>
  <sheetViews>
    <sheetView tabSelected="1" topLeftCell="E1" workbookViewId="0">
      <pane ySplit="1" topLeftCell="A2" activePane="bottomLeft" state="frozen"/>
      <selection pane="bottomLeft" activeCell="P1" sqref="E1:P1048576"/>
    </sheetView>
  </sheetViews>
  <sheetFormatPr defaultColWidth="12.5703125" defaultRowHeight="15.75" customHeight="1" x14ac:dyDescent="0.2"/>
  <cols>
    <col min="1" max="1" width="21.28515625" customWidth="1"/>
    <col min="2" max="2" width="19.28515625" customWidth="1"/>
    <col min="3" max="4" width="18.85546875" customWidth="1"/>
    <col min="5" max="5" width="10.85546875" customWidth="1"/>
    <col min="6" max="6" width="10.85546875" style="8" customWidth="1"/>
    <col min="7" max="7" width="10.85546875" customWidth="1"/>
    <col min="8" max="8" width="10.85546875" style="10" customWidth="1"/>
    <col min="9" max="9" width="10.85546875" customWidth="1"/>
    <col min="10" max="10" width="10.85546875" style="10" customWidth="1"/>
    <col min="11" max="11" width="10.85546875" customWidth="1"/>
    <col min="12" max="12" width="10.85546875" style="10" customWidth="1"/>
    <col min="13" max="13" width="10.85546875" customWidth="1"/>
    <col min="14" max="14" width="10.85546875" style="10" customWidth="1"/>
    <col min="15" max="15" width="10.85546875" customWidth="1"/>
    <col min="16" max="16" width="10.85546875" style="10" customWidth="1"/>
    <col min="17" max="17" width="11.140625" style="13" customWidth="1"/>
    <col min="18" max="18" width="37.5703125" customWidth="1"/>
    <col min="19" max="24" width="18.85546875" customWidth="1"/>
  </cols>
  <sheetData>
    <row r="1" spans="1:18" ht="22.5" customHeight="1" x14ac:dyDescent="0.2">
      <c r="A1" s="1" t="s">
        <v>0</v>
      </c>
      <c r="B1" s="1" t="s">
        <v>1</v>
      </c>
      <c r="C1" s="1" t="s">
        <v>2</v>
      </c>
      <c r="D1" s="1" t="s">
        <v>3</v>
      </c>
      <c r="E1" s="1" t="s">
        <v>4</v>
      </c>
      <c r="F1" s="6" t="s">
        <v>210</v>
      </c>
      <c r="G1" s="1" t="s">
        <v>5</v>
      </c>
      <c r="H1" s="9" t="s">
        <v>211</v>
      </c>
      <c r="I1" s="1" t="s">
        <v>6</v>
      </c>
      <c r="J1" s="9" t="s">
        <v>212</v>
      </c>
      <c r="K1" s="1" t="s">
        <v>7</v>
      </c>
      <c r="L1" s="9" t="s">
        <v>213</v>
      </c>
      <c r="M1" s="1" t="s">
        <v>8</v>
      </c>
      <c r="N1" s="9" t="s">
        <v>214</v>
      </c>
      <c r="O1" s="1" t="s">
        <v>9</v>
      </c>
      <c r="P1" s="9" t="s">
        <v>215</v>
      </c>
      <c r="Q1" s="12" t="s">
        <v>216</v>
      </c>
      <c r="R1" s="1" t="s">
        <v>10</v>
      </c>
    </row>
    <row r="2" spans="1:18" ht="22.5" customHeight="1" x14ac:dyDescent="0.2">
      <c r="A2" s="2">
        <v>46114.786396678246</v>
      </c>
      <c r="B2" s="3" t="s">
        <v>11</v>
      </c>
      <c r="C2" s="3" t="s">
        <v>12</v>
      </c>
      <c r="D2" s="3" t="s">
        <v>13</v>
      </c>
      <c r="E2" s="3">
        <v>81007</v>
      </c>
      <c r="F2" s="7">
        <v>1</v>
      </c>
      <c r="G2" s="3">
        <v>24482</v>
      </c>
      <c r="H2" s="9">
        <v>1</v>
      </c>
      <c r="I2" s="3" t="s">
        <v>14</v>
      </c>
      <c r="J2" s="9">
        <v>1</v>
      </c>
      <c r="K2" s="3" t="s">
        <v>15</v>
      </c>
      <c r="L2" s="9">
        <v>1</v>
      </c>
      <c r="M2" s="4">
        <v>96303</v>
      </c>
      <c r="N2" s="11">
        <v>0</v>
      </c>
      <c r="O2" s="3" t="s">
        <v>16</v>
      </c>
      <c r="P2" s="9">
        <v>1</v>
      </c>
      <c r="Q2" s="12">
        <f t="shared" ref="Q2:Q39" si="0">_xlfn.CEILING.MATH(SUM(F2,H2,J2,L2,N2,P2)/6*10,1)</f>
        <v>9</v>
      </c>
      <c r="R2" s="5" t="s">
        <v>17</v>
      </c>
    </row>
    <row r="3" spans="1:18" ht="22.5" customHeight="1" x14ac:dyDescent="0.2">
      <c r="A3" s="2">
        <v>46114.786579942127</v>
      </c>
      <c r="B3" s="3" t="s">
        <v>18</v>
      </c>
      <c r="C3" s="3" t="s">
        <v>19</v>
      </c>
      <c r="D3" s="3" t="s">
        <v>20</v>
      </c>
      <c r="E3" s="3">
        <v>81007</v>
      </c>
      <c r="F3" s="7">
        <v>1</v>
      </c>
      <c r="G3" s="3">
        <v>24482</v>
      </c>
      <c r="H3" s="9">
        <v>1</v>
      </c>
      <c r="I3" s="3" t="s">
        <v>14</v>
      </c>
      <c r="J3" s="9">
        <v>1</v>
      </c>
      <c r="K3" s="3" t="s">
        <v>15</v>
      </c>
      <c r="L3" s="9">
        <v>1</v>
      </c>
      <c r="M3" s="4">
        <v>96303</v>
      </c>
      <c r="N3" s="11">
        <v>0</v>
      </c>
      <c r="O3" s="3" t="s">
        <v>21</v>
      </c>
      <c r="P3" s="9">
        <v>1</v>
      </c>
      <c r="Q3" s="12">
        <f t="shared" si="0"/>
        <v>9</v>
      </c>
      <c r="R3" s="5" t="s">
        <v>22</v>
      </c>
    </row>
    <row r="4" spans="1:18" ht="22.5" customHeight="1" x14ac:dyDescent="0.2">
      <c r="A4" s="2">
        <v>46115.526985555553</v>
      </c>
      <c r="B4" s="3" t="s">
        <v>23</v>
      </c>
      <c r="C4" s="3" t="s">
        <v>24</v>
      </c>
      <c r="D4" s="3" t="s">
        <v>25</v>
      </c>
      <c r="E4" s="3">
        <v>81007</v>
      </c>
      <c r="F4" s="7">
        <v>1</v>
      </c>
      <c r="G4" s="3">
        <v>24482</v>
      </c>
      <c r="H4" s="9">
        <v>1</v>
      </c>
      <c r="I4" s="3" t="s">
        <v>14</v>
      </c>
      <c r="J4" s="9">
        <v>1</v>
      </c>
      <c r="K4" s="3" t="s">
        <v>26</v>
      </c>
      <c r="L4" s="9">
        <v>0</v>
      </c>
      <c r="M4" s="4">
        <v>96347</v>
      </c>
      <c r="N4" s="11">
        <v>0</v>
      </c>
      <c r="O4" s="3" t="s">
        <v>27</v>
      </c>
      <c r="P4" s="9">
        <v>1</v>
      </c>
      <c r="Q4" s="12">
        <f t="shared" si="0"/>
        <v>7</v>
      </c>
      <c r="R4" s="5" t="s">
        <v>28</v>
      </c>
    </row>
    <row r="5" spans="1:18" ht="22.5" customHeight="1" x14ac:dyDescent="0.2">
      <c r="A5" s="2">
        <v>46115.906914583335</v>
      </c>
      <c r="B5" s="3" t="s">
        <v>29</v>
      </c>
      <c r="C5" s="3" t="s">
        <v>30</v>
      </c>
      <c r="D5" s="3" t="s">
        <v>31</v>
      </c>
      <c r="E5" s="3">
        <v>81007</v>
      </c>
      <c r="F5" s="7">
        <v>1</v>
      </c>
      <c r="G5" s="3">
        <v>24482</v>
      </c>
      <c r="H5" s="9">
        <v>1</v>
      </c>
      <c r="I5" s="3" t="s">
        <v>14</v>
      </c>
      <c r="J5" s="9">
        <v>1</v>
      </c>
      <c r="K5" s="3" t="s">
        <v>15</v>
      </c>
      <c r="L5" s="9">
        <v>1</v>
      </c>
      <c r="M5" s="4">
        <v>9452</v>
      </c>
      <c r="N5" s="11">
        <v>1</v>
      </c>
      <c r="O5" s="3" t="s">
        <v>32</v>
      </c>
      <c r="P5" s="9">
        <v>1</v>
      </c>
      <c r="Q5" s="12">
        <f t="shared" si="0"/>
        <v>10</v>
      </c>
      <c r="R5" s="5" t="s">
        <v>33</v>
      </c>
    </row>
    <row r="6" spans="1:18" ht="22.5" customHeight="1" x14ac:dyDescent="0.2">
      <c r="A6" s="2">
        <v>46115.919899375003</v>
      </c>
      <c r="B6" s="3" t="s">
        <v>34</v>
      </c>
      <c r="C6" s="3" t="s">
        <v>35</v>
      </c>
      <c r="D6" s="3" t="s">
        <v>36</v>
      </c>
      <c r="E6" s="3">
        <v>81007</v>
      </c>
      <c r="F6" s="7">
        <v>1</v>
      </c>
      <c r="G6" s="3">
        <v>2284</v>
      </c>
      <c r="H6" s="9">
        <v>0</v>
      </c>
      <c r="I6" s="3" t="s">
        <v>37</v>
      </c>
      <c r="J6" s="9">
        <v>0</v>
      </c>
      <c r="K6" s="3" t="s">
        <v>15</v>
      </c>
      <c r="L6" s="9">
        <v>1</v>
      </c>
      <c r="M6" s="3" t="s">
        <v>38</v>
      </c>
      <c r="N6" s="11">
        <v>0</v>
      </c>
      <c r="O6" s="3" t="s">
        <v>39</v>
      </c>
      <c r="P6" s="9">
        <v>1</v>
      </c>
      <c r="Q6" s="12">
        <f t="shared" si="0"/>
        <v>5</v>
      </c>
      <c r="R6" s="5" t="s">
        <v>40</v>
      </c>
    </row>
    <row r="7" spans="1:18" ht="22.5" customHeight="1" x14ac:dyDescent="0.2">
      <c r="A7" s="2">
        <v>46115.954533090277</v>
      </c>
      <c r="B7" s="3" t="s">
        <v>41</v>
      </c>
      <c r="C7" s="3" t="s">
        <v>42</v>
      </c>
      <c r="D7" s="3" t="s">
        <v>43</v>
      </c>
      <c r="E7" s="3">
        <v>81007</v>
      </c>
      <c r="F7" s="7">
        <v>1</v>
      </c>
      <c r="G7" s="3">
        <v>2284</v>
      </c>
      <c r="H7" s="9">
        <v>0</v>
      </c>
      <c r="I7" s="3" t="s">
        <v>14</v>
      </c>
      <c r="J7" s="9">
        <v>1</v>
      </c>
      <c r="K7" s="3" t="s">
        <v>15</v>
      </c>
      <c r="L7" s="9">
        <v>1</v>
      </c>
      <c r="M7" s="4">
        <v>96347</v>
      </c>
      <c r="N7" s="11">
        <v>0</v>
      </c>
      <c r="O7" s="3" t="s">
        <v>44</v>
      </c>
      <c r="P7" s="9">
        <v>1</v>
      </c>
      <c r="Q7" s="12">
        <f t="shared" si="0"/>
        <v>7</v>
      </c>
      <c r="R7" s="5" t="s">
        <v>45</v>
      </c>
    </row>
    <row r="8" spans="1:18" ht="22.5" customHeight="1" x14ac:dyDescent="0.2">
      <c r="A8" s="2">
        <v>46116.46526459491</v>
      </c>
      <c r="B8" s="3" t="s">
        <v>46</v>
      </c>
      <c r="C8" s="3" t="s">
        <v>47</v>
      </c>
      <c r="D8" s="3" t="s">
        <v>48</v>
      </c>
      <c r="E8" s="3">
        <v>81007</v>
      </c>
      <c r="F8" s="7">
        <v>1</v>
      </c>
      <c r="G8" s="3">
        <v>2284</v>
      </c>
      <c r="H8" s="9">
        <v>0</v>
      </c>
      <c r="I8" s="3" t="s">
        <v>14</v>
      </c>
      <c r="J8" s="9">
        <v>1</v>
      </c>
      <c r="K8" s="3" t="s">
        <v>26</v>
      </c>
      <c r="L8" s="9">
        <v>0</v>
      </c>
      <c r="M8" s="4">
        <v>96347</v>
      </c>
      <c r="N8" s="11">
        <v>0</v>
      </c>
      <c r="O8" s="3" t="s">
        <v>49</v>
      </c>
      <c r="P8" s="9">
        <v>1</v>
      </c>
      <c r="Q8" s="12">
        <f t="shared" si="0"/>
        <v>5</v>
      </c>
      <c r="R8" s="5" t="s">
        <v>50</v>
      </c>
    </row>
    <row r="9" spans="1:18" ht="22.5" customHeight="1" x14ac:dyDescent="0.2">
      <c r="A9" s="2">
        <v>46116.733276990737</v>
      </c>
      <c r="B9" s="3" t="s">
        <v>51</v>
      </c>
      <c r="C9" s="3" t="s">
        <v>52</v>
      </c>
      <c r="D9" s="3" t="s">
        <v>53</v>
      </c>
      <c r="E9" s="3">
        <v>81007</v>
      </c>
      <c r="F9" s="7">
        <v>1</v>
      </c>
      <c r="G9" s="3">
        <v>2284</v>
      </c>
      <c r="H9" s="9">
        <v>0</v>
      </c>
      <c r="I9" s="3" t="s">
        <v>14</v>
      </c>
      <c r="J9" s="9">
        <v>1</v>
      </c>
      <c r="K9" s="3" t="s">
        <v>15</v>
      </c>
      <c r="L9" s="9">
        <v>1</v>
      </c>
      <c r="M9" s="4">
        <v>96347</v>
      </c>
      <c r="N9" s="11">
        <v>0</v>
      </c>
      <c r="O9" s="3" t="s">
        <v>54</v>
      </c>
      <c r="P9" s="9">
        <v>1</v>
      </c>
      <c r="Q9" s="12">
        <f t="shared" si="0"/>
        <v>7</v>
      </c>
      <c r="R9" s="5" t="s">
        <v>55</v>
      </c>
    </row>
    <row r="10" spans="1:18" ht="22.5" customHeight="1" x14ac:dyDescent="0.2">
      <c r="A10" s="2">
        <v>46116.788332326389</v>
      </c>
      <c r="B10" s="3" t="s">
        <v>56</v>
      </c>
      <c r="C10" s="3" t="s">
        <v>57</v>
      </c>
      <c r="D10" s="3" t="s">
        <v>58</v>
      </c>
      <c r="E10" s="3">
        <v>81007</v>
      </c>
      <c r="F10" s="7">
        <v>1</v>
      </c>
      <c r="G10" s="3">
        <v>24482</v>
      </c>
      <c r="H10" s="9">
        <v>1</v>
      </c>
      <c r="I10" s="3" t="s">
        <v>14</v>
      </c>
      <c r="J10" s="9">
        <v>1</v>
      </c>
      <c r="K10" s="3" t="s">
        <v>15</v>
      </c>
      <c r="L10" s="9">
        <v>1</v>
      </c>
      <c r="M10" s="4">
        <v>96347</v>
      </c>
      <c r="N10" s="11">
        <v>0</v>
      </c>
      <c r="O10" s="3" t="s">
        <v>59</v>
      </c>
      <c r="P10" s="9">
        <v>1</v>
      </c>
      <c r="Q10" s="12">
        <f t="shared" si="0"/>
        <v>9</v>
      </c>
      <c r="R10" s="5" t="s">
        <v>60</v>
      </c>
    </row>
    <row r="11" spans="1:18" ht="22.5" customHeight="1" x14ac:dyDescent="0.2">
      <c r="A11" s="2">
        <v>46116.839174907407</v>
      </c>
      <c r="B11" s="3" t="s">
        <v>61</v>
      </c>
      <c r="C11" s="3" t="s">
        <v>62</v>
      </c>
      <c r="D11" s="3" t="s">
        <v>63</v>
      </c>
      <c r="E11" s="3">
        <v>81007</v>
      </c>
      <c r="F11" s="7">
        <v>1</v>
      </c>
      <c r="G11" s="3">
        <v>2284</v>
      </c>
      <c r="H11" s="9">
        <v>0</v>
      </c>
      <c r="I11" s="3" t="s">
        <v>14</v>
      </c>
      <c r="J11" s="9">
        <v>1</v>
      </c>
      <c r="K11" s="3" t="s">
        <v>15</v>
      </c>
      <c r="L11" s="9">
        <v>1</v>
      </c>
      <c r="M11" s="4">
        <v>96347</v>
      </c>
      <c r="N11" s="11">
        <v>0</v>
      </c>
      <c r="O11" s="3" t="s">
        <v>64</v>
      </c>
      <c r="P11" s="9">
        <v>1</v>
      </c>
      <c r="Q11" s="12">
        <f t="shared" si="0"/>
        <v>7</v>
      </c>
      <c r="R11" s="5" t="s">
        <v>65</v>
      </c>
    </row>
    <row r="12" spans="1:18" ht="22.5" customHeight="1" x14ac:dyDescent="0.2">
      <c r="A12" s="2">
        <v>46117.439014039352</v>
      </c>
      <c r="B12" s="3" t="s">
        <v>66</v>
      </c>
      <c r="C12" s="3" t="s">
        <v>67</v>
      </c>
      <c r="D12" s="3" t="s">
        <v>68</v>
      </c>
      <c r="E12" s="3">
        <v>81007</v>
      </c>
      <c r="F12" s="7">
        <v>1</v>
      </c>
      <c r="G12" s="3">
        <v>24482</v>
      </c>
      <c r="H12" s="9">
        <v>1</v>
      </c>
      <c r="I12" s="3" t="s">
        <v>14</v>
      </c>
      <c r="J12" s="9">
        <v>1</v>
      </c>
      <c r="K12" s="3" t="s">
        <v>15</v>
      </c>
      <c r="L12" s="9">
        <v>1</v>
      </c>
      <c r="M12" s="4">
        <v>96303</v>
      </c>
      <c r="N12" s="11">
        <v>0</v>
      </c>
      <c r="O12" s="3" t="s">
        <v>69</v>
      </c>
      <c r="P12" s="9">
        <v>1</v>
      </c>
      <c r="Q12" s="12">
        <f t="shared" si="0"/>
        <v>9</v>
      </c>
      <c r="R12" s="5" t="s">
        <v>70</v>
      </c>
    </row>
    <row r="13" spans="1:18" ht="22.5" customHeight="1" x14ac:dyDescent="0.2">
      <c r="A13" s="2">
        <v>46117.627935520832</v>
      </c>
      <c r="B13" s="3" t="s">
        <v>71</v>
      </c>
      <c r="C13" s="3" t="s">
        <v>72</v>
      </c>
      <c r="D13" s="3" t="s">
        <v>73</v>
      </c>
      <c r="E13" s="3">
        <v>81007</v>
      </c>
      <c r="F13" s="7">
        <v>1</v>
      </c>
      <c r="G13" s="3">
        <v>2284</v>
      </c>
      <c r="H13" s="9">
        <v>0</v>
      </c>
      <c r="I13" s="3" t="s">
        <v>14</v>
      </c>
      <c r="J13" s="9">
        <v>1</v>
      </c>
      <c r="K13" s="3" t="s">
        <v>74</v>
      </c>
      <c r="L13" s="9">
        <v>0</v>
      </c>
      <c r="M13" s="4">
        <v>9452</v>
      </c>
      <c r="N13" s="11">
        <v>1</v>
      </c>
      <c r="O13" s="3" t="s">
        <v>75</v>
      </c>
      <c r="P13" s="9">
        <v>1</v>
      </c>
      <c r="Q13" s="12">
        <f t="shared" si="0"/>
        <v>7</v>
      </c>
      <c r="R13" s="5" t="s">
        <v>76</v>
      </c>
    </row>
    <row r="14" spans="1:18" ht="22.5" customHeight="1" x14ac:dyDescent="0.2">
      <c r="A14" s="2">
        <v>46117.760996886573</v>
      </c>
      <c r="B14" s="3" t="s">
        <v>77</v>
      </c>
      <c r="C14" s="3" t="s">
        <v>78</v>
      </c>
      <c r="D14" s="3" t="s">
        <v>79</v>
      </c>
      <c r="E14" s="3">
        <v>81007</v>
      </c>
      <c r="F14" s="7">
        <v>1</v>
      </c>
      <c r="G14" s="3">
        <v>24482</v>
      </c>
      <c r="H14" s="9">
        <v>1</v>
      </c>
      <c r="I14" s="3" t="s">
        <v>14</v>
      </c>
      <c r="J14" s="9">
        <v>1</v>
      </c>
      <c r="K14" s="3" t="s">
        <v>15</v>
      </c>
      <c r="L14" s="9">
        <v>1</v>
      </c>
      <c r="M14" s="4">
        <v>96347</v>
      </c>
      <c r="N14" s="11">
        <v>0</v>
      </c>
      <c r="O14" s="3" t="s">
        <v>80</v>
      </c>
      <c r="P14" s="9">
        <v>1</v>
      </c>
      <c r="Q14" s="12">
        <f t="shared" si="0"/>
        <v>9</v>
      </c>
      <c r="R14" s="5" t="s">
        <v>81</v>
      </c>
    </row>
    <row r="15" spans="1:18" ht="22.5" customHeight="1" x14ac:dyDescent="0.2">
      <c r="A15" s="2">
        <v>46117.778392488428</v>
      </c>
      <c r="B15" s="3" t="s">
        <v>82</v>
      </c>
      <c r="C15" s="3" t="s">
        <v>83</v>
      </c>
      <c r="D15" s="3" t="s">
        <v>84</v>
      </c>
      <c r="E15" s="3">
        <v>81007</v>
      </c>
      <c r="F15" s="7">
        <v>1</v>
      </c>
      <c r="G15" s="3">
        <v>24482</v>
      </c>
      <c r="H15" s="9">
        <v>1</v>
      </c>
      <c r="I15" s="3" t="s">
        <v>14</v>
      </c>
      <c r="J15" s="9">
        <v>1</v>
      </c>
      <c r="K15" s="3" t="s">
        <v>15</v>
      </c>
      <c r="L15" s="9">
        <v>1</v>
      </c>
      <c r="M15" s="4">
        <v>96347</v>
      </c>
      <c r="N15" s="11">
        <v>0</v>
      </c>
      <c r="O15" s="3" t="s">
        <v>85</v>
      </c>
      <c r="P15" s="9">
        <v>1</v>
      </c>
      <c r="Q15" s="12">
        <f t="shared" si="0"/>
        <v>9</v>
      </c>
      <c r="R15" s="5" t="s">
        <v>86</v>
      </c>
    </row>
    <row r="16" spans="1:18" ht="22.5" customHeight="1" x14ac:dyDescent="0.2">
      <c r="A16" s="2">
        <v>46117.820964791666</v>
      </c>
      <c r="B16" s="3" t="s">
        <v>87</v>
      </c>
      <c r="C16" s="3" t="s">
        <v>88</v>
      </c>
      <c r="D16" s="3" t="s">
        <v>89</v>
      </c>
      <c r="E16" s="3">
        <v>81007</v>
      </c>
      <c r="F16" s="7">
        <v>1</v>
      </c>
      <c r="G16" s="3">
        <v>24482</v>
      </c>
      <c r="H16" s="9">
        <v>1</v>
      </c>
      <c r="I16" s="3" t="s">
        <v>14</v>
      </c>
      <c r="J16" s="9">
        <v>1</v>
      </c>
      <c r="K16" s="3" t="s">
        <v>15</v>
      </c>
      <c r="L16" s="9">
        <v>1</v>
      </c>
      <c r="M16" s="4">
        <v>9452</v>
      </c>
      <c r="N16" s="11">
        <v>1</v>
      </c>
      <c r="O16" s="3" t="s">
        <v>90</v>
      </c>
      <c r="P16" s="9">
        <v>1</v>
      </c>
      <c r="Q16" s="12">
        <f t="shared" si="0"/>
        <v>10</v>
      </c>
      <c r="R16" s="5" t="s">
        <v>91</v>
      </c>
    </row>
    <row r="17" spans="1:18" ht="22.5" customHeight="1" x14ac:dyDescent="0.2">
      <c r="A17" s="2">
        <v>46117.847340185181</v>
      </c>
      <c r="B17" s="3" t="s">
        <v>92</v>
      </c>
      <c r="C17" s="3" t="s">
        <v>93</v>
      </c>
      <c r="D17" s="3" t="s">
        <v>94</v>
      </c>
      <c r="E17" s="3">
        <v>81007</v>
      </c>
      <c r="F17" s="7">
        <v>1</v>
      </c>
      <c r="G17" s="3">
        <v>2284</v>
      </c>
      <c r="H17" s="9">
        <v>0</v>
      </c>
      <c r="I17" s="3" t="s">
        <v>14</v>
      </c>
      <c r="J17" s="9">
        <v>1</v>
      </c>
      <c r="K17" s="3" t="s">
        <v>26</v>
      </c>
      <c r="L17" s="9">
        <v>0</v>
      </c>
      <c r="M17" s="4">
        <v>96347</v>
      </c>
      <c r="N17" s="11">
        <v>0</v>
      </c>
      <c r="O17" s="3" t="s">
        <v>95</v>
      </c>
      <c r="P17" s="9">
        <v>1</v>
      </c>
      <c r="Q17" s="12">
        <f t="shared" si="0"/>
        <v>5</v>
      </c>
      <c r="R17" s="5" t="s">
        <v>96</v>
      </c>
    </row>
    <row r="18" spans="1:18" ht="22.5" customHeight="1" x14ac:dyDescent="0.2">
      <c r="A18" s="2">
        <v>46117.951312094912</v>
      </c>
      <c r="B18" s="3" t="s">
        <v>97</v>
      </c>
      <c r="C18" s="3" t="s">
        <v>98</v>
      </c>
      <c r="D18" s="3" t="s">
        <v>99</v>
      </c>
      <c r="E18" s="3">
        <v>81007</v>
      </c>
      <c r="F18" s="7">
        <v>1</v>
      </c>
      <c r="G18" s="3">
        <v>2284</v>
      </c>
      <c r="H18" s="9">
        <v>0</v>
      </c>
      <c r="I18" s="3" t="s">
        <v>14</v>
      </c>
      <c r="J18" s="9">
        <v>1</v>
      </c>
      <c r="K18" s="3" t="s">
        <v>26</v>
      </c>
      <c r="L18" s="9">
        <v>0</v>
      </c>
      <c r="M18" s="3" t="s">
        <v>38</v>
      </c>
      <c r="N18" s="11">
        <v>0</v>
      </c>
      <c r="O18" s="3" t="s">
        <v>100</v>
      </c>
      <c r="P18" s="9">
        <v>1</v>
      </c>
      <c r="Q18" s="12">
        <f t="shared" si="0"/>
        <v>5</v>
      </c>
      <c r="R18" s="5" t="s">
        <v>101</v>
      </c>
    </row>
    <row r="19" spans="1:18" ht="22.5" customHeight="1" x14ac:dyDescent="0.2">
      <c r="A19" s="2">
        <v>46117.974758067125</v>
      </c>
      <c r="B19" s="3" t="s">
        <v>102</v>
      </c>
      <c r="C19" s="3" t="s">
        <v>103</v>
      </c>
      <c r="D19" s="3" t="s">
        <v>104</v>
      </c>
      <c r="E19" s="3">
        <v>81007</v>
      </c>
      <c r="F19" s="7">
        <v>1</v>
      </c>
      <c r="G19" s="3">
        <v>24482</v>
      </c>
      <c r="H19" s="9">
        <v>1</v>
      </c>
      <c r="I19" s="3" t="s">
        <v>14</v>
      </c>
      <c r="J19" s="9">
        <v>1</v>
      </c>
      <c r="K19" s="3" t="s">
        <v>15</v>
      </c>
      <c r="L19" s="9">
        <v>1</v>
      </c>
      <c r="M19" s="4">
        <v>96347</v>
      </c>
      <c r="N19" s="11">
        <v>0</v>
      </c>
      <c r="O19" s="3" t="s">
        <v>105</v>
      </c>
      <c r="P19" s="9">
        <v>1</v>
      </c>
      <c r="Q19" s="12">
        <f t="shared" si="0"/>
        <v>9</v>
      </c>
      <c r="R19" s="5" t="s">
        <v>106</v>
      </c>
    </row>
    <row r="20" spans="1:18" ht="22.5" customHeight="1" x14ac:dyDescent="0.2">
      <c r="A20" s="2">
        <v>46118.359574351853</v>
      </c>
      <c r="B20" s="3" t="s">
        <v>107</v>
      </c>
      <c r="C20" s="3" t="s">
        <v>108</v>
      </c>
      <c r="D20" s="3" t="s">
        <v>109</v>
      </c>
      <c r="E20" s="3">
        <v>81007</v>
      </c>
      <c r="F20" s="7">
        <v>1</v>
      </c>
      <c r="G20" s="3">
        <v>24482</v>
      </c>
      <c r="H20" s="9">
        <v>1</v>
      </c>
      <c r="I20" s="3" t="s">
        <v>14</v>
      </c>
      <c r="J20" s="9">
        <v>1</v>
      </c>
      <c r="K20" s="3" t="s">
        <v>15</v>
      </c>
      <c r="L20" s="9">
        <v>1</v>
      </c>
      <c r="M20" s="4">
        <v>96347</v>
      </c>
      <c r="N20" s="11">
        <v>0</v>
      </c>
      <c r="O20" s="3" t="s">
        <v>110</v>
      </c>
      <c r="P20" s="9">
        <v>1</v>
      </c>
      <c r="Q20" s="12">
        <f t="shared" si="0"/>
        <v>9</v>
      </c>
      <c r="R20" s="5" t="s">
        <v>111</v>
      </c>
    </row>
    <row r="21" spans="1:18" ht="22.5" customHeight="1" x14ac:dyDescent="0.2">
      <c r="A21" s="2">
        <v>46118.796174108793</v>
      </c>
      <c r="B21" s="3" t="s">
        <v>112</v>
      </c>
      <c r="C21" s="3" t="s">
        <v>113</v>
      </c>
      <c r="D21" s="3" t="s">
        <v>114</v>
      </c>
      <c r="E21" s="3">
        <v>81007</v>
      </c>
      <c r="F21" s="7">
        <v>1</v>
      </c>
      <c r="G21" s="3">
        <v>24482</v>
      </c>
      <c r="H21" s="9">
        <v>1</v>
      </c>
      <c r="I21" s="3" t="s">
        <v>14</v>
      </c>
      <c r="J21" s="9">
        <v>1</v>
      </c>
      <c r="K21" s="3" t="s">
        <v>15</v>
      </c>
      <c r="L21" s="9">
        <v>1</v>
      </c>
      <c r="M21" s="4">
        <v>96347</v>
      </c>
      <c r="N21" s="11">
        <v>0</v>
      </c>
      <c r="O21" s="3" t="s">
        <v>115</v>
      </c>
      <c r="P21" s="9">
        <v>1</v>
      </c>
      <c r="Q21" s="12">
        <f t="shared" si="0"/>
        <v>9</v>
      </c>
      <c r="R21" s="5" t="s">
        <v>116</v>
      </c>
    </row>
    <row r="22" spans="1:18" ht="22.5" customHeight="1" x14ac:dyDescent="0.2">
      <c r="A22" s="2">
        <v>46118.806176979168</v>
      </c>
      <c r="B22" s="3" t="s">
        <v>117</v>
      </c>
      <c r="C22" s="3" t="s">
        <v>118</v>
      </c>
      <c r="D22" s="3" t="s">
        <v>119</v>
      </c>
      <c r="E22" s="3">
        <v>81007</v>
      </c>
      <c r="F22" s="7">
        <v>1</v>
      </c>
      <c r="G22" s="3">
        <v>24482</v>
      </c>
      <c r="H22" s="9">
        <v>1</v>
      </c>
      <c r="I22" s="3" t="s">
        <v>120</v>
      </c>
      <c r="J22" s="9">
        <v>1</v>
      </c>
      <c r="K22" s="3" t="s">
        <v>15</v>
      </c>
      <c r="L22" s="9">
        <v>1</v>
      </c>
      <c r="M22" s="4">
        <v>9452</v>
      </c>
      <c r="N22" s="11">
        <v>1</v>
      </c>
      <c r="O22" s="3" t="s">
        <v>121</v>
      </c>
      <c r="P22" s="9">
        <v>1</v>
      </c>
      <c r="Q22" s="12">
        <f t="shared" si="0"/>
        <v>10</v>
      </c>
      <c r="R22" s="5" t="s">
        <v>122</v>
      </c>
    </row>
    <row r="23" spans="1:18" ht="22.5" customHeight="1" x14ac:dyDescent="0.2">
      <c r="A23" s="2">
        <v>46118.838679155087</v>
      </c>
      <c r="B23" s="3" t="s">
        <v>123</v>
      </c>
      <c r="C23" s="3" t="s">
        <v>124</v>
      </c>
      <c r="D23" s="3" t="s">
        <v>125</v>
      </c>
      <c r="E23" s="3">
        <v>81007</v>
      </c>
      <c r="F23" s="7">
        <v>1</v>
      </c>
      <c r="G23" s="3">
        <v>24482</v>
      </c>
      <c r="H23" s="9">
        <v>1</v>
      </c>
      <c r="I23" s="3" t="s">
        <v>14</v>
      </c>
      <c r="J23" s="9">
        <v>1</v>
      </c>
      <c r="K23" s="3" t="s">
        <v>15</v>
      </c>
      <c r="L23" s="9">
        <v>1</v>
      </c>
      <c r="M23" s="4">
        <v>94520</v>
      </c>
      <c r="N23" s="11">
        <v>1</v>
      </c>
      <c r="O23" s="3" t="s">
        <v>126</v>
      </c>
      <c r="P23" s="9">
        <v>1</v>
      </c>
      <c r="Q23" s="12">
        <f t="shared" si="0"/>
        <v>10</v>
      </c>
      <c r="R23" s="5" t="s">
        <v>127</v>
      </c>
    </row>
    <row r="24" spans="1:18" ht="22.5" customHeight="1" x14ac:dyDescent="0.2">
      <c r="A24" s="2">
        <v>46118.84181993056</v>
      </c>
      <c r="B24" s="3" t="s">
        <v>128</v>
      </c>
      <c r="C24" s="3" t="s">
        <v>129</v>
      </c>
      <c r="D24" s="3" t="s">
        <v>130</v>
      </c>
      <c r="E24" s="3">
        <v>81007</v>
      </c>
      <c r="F24" s="7">
        <v>1</v>
      </c>
      <c r="G24" s="3">
        <v>24482</v>
      </c>
      <c r="H24" s="9">
        <v>1</v>
      </c>
      <c r="I24" s="3" t="s">
        <v>120</v>
      </c>
      <c r="J24" s="9">
        <v>1</v>
      </c>
      <c r="K24" s="3" t="s">
        <v>15</v>
      </c>
      <c r="L24" s="9">
        <v>1</v>
      </c>
      <c r="M24" s="4">
        <v>9452</v>
      </c>
      <c r="N24" s="11">
        <v>1</v>
      </c>
      <c r="O24" s="3" t="s">
        <v>131</v>
      </c>
      <c r="P24" s="9">
        <v>1</v>
      </c>
      <c r="Q24" s="12">
        <f t="shared" si="0"/>
        <v>10</v>
      </c>
      <c r="R24" s="5" t="s">
        <v>132</v>
      </c>
    </row>
    <row r="25" spans="1:18" ht="22.5" customHeight="1" x14ac:dyDescent="0.2">
      <c r="A25" s="2">
        <v>46118.845616076389</v>
      </c>
      <c r="B25" s="3" t="s">
        <v>133</v>
      </c>
      <c r="C25" s="3" t="s">
        <v>134</v>
      </c>
      <c r="D25" s="3" t="s">
        <v>135</v>
      </c>
      <c r="E25" s="3">
        <v>81007</v>
      </c>
      <c r="F25" s="7">
        <v>1</v>
      </c>
      <c r="G25" s="3">
        <v>24482</v>
      </c>
      <c r="H25" s="9">
        <v>1</v>
      </c>
      <c r="I25" s="3" t="s">
        <v>14</v>
      </c>
      <c r="J25" s="9">
        <v>1</v>
      </c>
      <c r="K25" s="3" t="s">
        <v>15</v>
      </c>
      <c r="L25" s="9">
        <v>1</v>
      </c>
      <c r="M25" s="4">
        <v>9452</v>
      </c>
      <c r="N25" s="11">
        <v>1</v>
      </c>
      <c r="O25" s="3" t="s">
        <v>136</v>
      </c>
      <c r="P25" s="9">
        <v>1</v>
      </c>
      <c r="Q25" s="12">
        <f t="shared" si="0"/>
        <v>10</v>
      </c>
      <c r="R25" s="5" t="s">
        <v>137</v>
      </c>
    </row>
    <row r="26" spans="1:18" ht="22.5" customHeight="1" x14ac:dyDescent="0.2">
      <c r="A26" s="2">
        <v>46118.851372928242</v>
      </c>
      <c r="B26" s="3" t="s">
        <v>138</v>
      </c>
      <c r="C26" s="3" t="s">
        <v>139</v>
      </c>
      <c r="D26" s="3" t="s">
        <v>140</v>
      </c>
      <c r="E26" s="3">
        <v>81007</v>
      </c>
      <c r="F26" s="7">
        <v>1</v>
      </c>
      <c r="G26" s="3">
        <v>24482</v>
      </c>
      <c r="H26" s="9">
        <v>1</v>
      </c>
      <c r="I26" s="3" t="s">
        <v>14</v>
      </c>
      <c r="J26" s="9">
        <v>1</v>
      </c>
      <c r="K26" s="3" t="s">
        <v>15</v>
      </c>
      <c r="L26" s="9">
        <v>1</v>
      </c>
      <c r="M26" s="4">
        <v>9452</v>
      </c>
      <c r="N26" s="11">
        <v>1</v>
      </c>
      <c r="O26" s="3" t="s">
        <v>141</v>
      </c>
      <c r="P26" s="9">
        <v>1</v>
      </c>
      <c r="Q26" s="12">
        <f t="shared" si="0"/>
        <v>10</v>
      </c>
      <c r="R26" s="5" t="s">
        <v>142</v>
      </c>
    </row>
    <row r="27" spans="1:18" ht="22.5" customHeight="1" x14ac:dyDescent="0.2">
      <c r="A27" s="2">
        <v>46118.889625810189</v>
      </c>
      <c r="B27" s="3" t="s">
        <v>143</v>
      </c>
      <c r="C27" s="3" t="s">
        <v>144</v>
      </c>
      <c r="D27" s="3" t="s">
        <v>145</v>
      </c>
      <c r="E27" s="3">
        <v>81007</v>
      </c>
      <c r="F27" s="7">
        <v>1</v>
      </c>
      <c r="G27" s="3">
        <v>24482</v>
      </c>
      <c r="H27" s="9">
        <v>1</v>
      </c>
      <c r="I27" s="3" t="s">
        <v>120</v>
      </c>
      <c r="J27" s="9">
        <v>1</v>
      </c>
      <c r="K27" s="3" t="s">
        <v>15</v>
      </c>
      <c r="L27" s="9">
        <v>1</v>
      </c>
      <c r="M27" s="4">
        <v>9452</v>
      </c>
      <c r="N27" s="11">
        <v>1</v>
      </c>
      <c r="O27" s="3" t="s">
        <v>146</v>
      </c>
      <c r="P27" s="9">
        <v>1</v>
      </c>
      <c r="Q27" s="12">
        <f t="shared" si="0"/>
        <v>10</v>
      </c>
      <c r="R27" s="5" t="s">
        <v>147</v>
      </c>
    </row>
    <row r="28" spans="1:18" ht="22.5" customHeight="1" x14ac:dyDescent="0.2">
      <c r="A28" s="2">
        <v>46118.889685011571</v>
      </c>
      <c r="B28" s="3" t="s">
        <v>148</v>
      </c>
      <c r="C28" s="3" t="s">
        <v>149</v>
      </c>
      <c r="D28" s="3" t="s">
        <v>150</v>
      </c>
      <c r="E28" s="3">
        <v>81007</v>
      </c>
      <c r="F28" s="7">
        <v>1</v>
      </c>
      <c r="G28" s="3">
        <v>24482</v>
      </c>
      <c r="H28" s="9">
        <v>1</v>
      </c>
      <c r="I28" s="3" t="s">
        <v>120</v>
      </c>
      <c r="J28" s="9">
        <v>1</v>
      </c>
      <c r="K28" s="3" t="s">
        <v>15</v>
      </c>
      <c r="L28" s="9">
        <v>1</v>
      </c>
      <c r="M28" s="4">
        <v>9452</v>
      </c>
      <c r="N28" s="11">
        <v>1</v>
      </c>
      <c r="O28" s="3" t="s">
        <v>151</v>
      </c>
      <c r="P28" s="9">
        <v>1</v>
      </c>
      <c r="Q28" s="12">
        <f t="shared" si="0"/>
        <v>10</v>
      </c>
      <c r="R28" s="5" t="s">
        <v>152</v>
      </c>
    </row>
    <row r="29" spans="1:18" ht="22.5" customHeight="1" x14ac:dyDescent="0.2">
      <c r="A29" s="2">
        <v>46118.897433912032</v>
      </c>
      <c r="B29" s="3" t="s">
        <v>153</v>
      </c>
      <c r="C29" s="3" t="s">
        <v>154</v>
      </c>
      <c r="D29" s="3" t="s">
        <v>155</v>
      </c>
      <c r="E29" s="3">
        <v>81007</v>
      </c>
      <c r="F29" s="7">
        <v>1</v>
      </c>
      <c r="G29" s="3">
        <v>24482</v>
      </c>
      <c r="H29" s="9">
        <v>1</v>
      </c>
      <c r="I29" s="3" t="s">
        <v>14</v>
      </c>
      <c r="J29" s="9">
        <v>1</v>
      </c>
      <c r="K29" s="3" t="s">
        <v>15</v>
      </c>
      <c r="L29" s="9">
        <v>1</v>
      </c>
      <c r="M29" s="4">
        <v>9452</v>
      </c>
      <c r="N29" s="11">
        <v>1</v>
      </c>
      <c r="O29" s="3" t="s">
        <v>156</v>
      </c>
      <c r="P29" s="9">
        <v>1</v>
      </c>
      <c r="Q29" s="12">
        <f t="shared" si="0"/>
        <v>10</v>
      </c>
      <c r="R29" s="5" t="s">
        <v>157</v>
      </c>
    </row>
    <row r="30" spans="1:18" ht="22.5" customHeight="1" x14ac:dyDescent="0.2">
      <c r="A30" s="2">
        <v>46118.900546284727</v>
      </c>
      <c r="B30" s="3" t="s">
        <v>158</v>
      </c>
      <c r="C30" s="3" t="s">
        <v>159</v>
      </c>
      <c r="D30" s="3" t="s">
        <v>160</v>
      </c>
      <c r="E30" s="3">
        <v>81007</v>
      </c>
      <c r="F30" s="7">
        <v>1</v>
      </c>
      <c r="G30" s="3">
        <v>2284</v>
      </c>
      <c r="H30" s="9">
        <v>0</v>
      </c>
      <c r="I30" s="3" t="s">
        <v>14</v>
      </c>
      <c r="J30" s="9">
        <v>1</v>
      </c>
      <c r="K30" s="3" t="s">
        <v>15</v>
      </c>
      <c r="L30" s="9">
        <v>1</v>
      </c>
      <c r="M30" s="4">
        <v>9452</v>
      </c>
      <c r="N30" s="11">
        <v>1</v>
      </c>
      <c r="O30" s="3" t="s">
        <v>161</v>
      </c>
      <c r="P30" s="9">
        <v>1</v>
      </c>
      <c r="Q30" s="12">
        <f t="shared" si="0"/>
        <v>9</v>
      </c>
      <c r="R30" s="5" t="s">
        <v>162</v>
      </c>
    </row>
    <row r="31" spans="1:18" ht="22.5" customHeight="1" x14ac:dyDescent="0.2">
      <c r="A31" s="2">
        <v>46118.938023298615</v>
      </c>
      <c r="B31" s="3" t="s">
        <v>163</v>
      </c>
      <c r="C31" s="3" t="s">
        <v>164</v>
      </c>
      <c r="D31" s="3" t="s">
        <v>165</v>
      </c>
      <c r="E31" s="3">
        <v>81007</v>
      </c>
      <c r="F31" s="7">
        <v>1</v>
      </c>
      <c r="G31" s="3">
        <v>24482</v>
      </c>
      <c r="H31" s="9">
        <v>1</v>
      </c>
      <c r="I31" s="3" t="s">
        <v>14</v>
      </c>
      <c r="J31" s="9">
        <v>1</v>
      </c>
      <c r="K31" s="3" t="s">
        <v>15</v>
      </c>
      <c r="L31" s="9">
        <v>1</v>
      </c>
      <c r="M31" s="4">
        <v>96347</v>
      </c>
      <c r="N31" s="11">
        <v>0</v>
      </c>
      <c r="O31" s="3" t="s">
        <v>166</v>
      </c>
      <c r="P31" s="9">
        <v>1</v>
      </c>
      <c r="Q31" s="12">
        <f t="shared" si="0"/>
        <v>9</v>
      </c>
      <c r="R31" s="5" t="s">
        <v>167</v>
      </c>
    </row>
    <row r="32" spans="1:18" ht="22.5" customHeight="1" x14ac:dyDescent="0.2">
      <c r="A32" s="2">
        <v>46118.946646064811</v>
      </c>
      <c r="B32" s="3" t="s">
        <v>168</v>
      </c>
      <c r="C32" s="3" t="s">
        <v>169</v>
      </c>
      <c r="D32" s="3" t="s">
        <v>170</v>
      </c>
      <c r="E32" s="3">
        <v>81007</v>
      </c>
      <c r="F32" s="7">
        <v>1</v>
      </c>
      <c r="G32" s="3">
        <v>24482</v>
      </c>
      <c r="H32" s="9">
        <v>1</v>
      </c>
      <c r="I32" s="3" t="s">
        <v>171</v>
      </c>
      <c r="J32" s="9">
        <v>1</v>
      </c>
      <c r="K32" s="3" t="s">
        <v>15</v>
      </c>
      <c r="L32" s="9">
        <v>1</v>
      </c>
      <c r="M32" s="4">
        <v>9452</v>
      </c>
      <c r="N32" s="11">
        <v>1</v>
      </c>
      <c r="O32" s="3" t="s">
        <v>172</v>
      </c>
      <c r="P32" s="9">
        <v>1</v>
      </c>
      <c r="Q32" s="12">
        <f t="shared" si="0"/>
        <v>10</v>
      </c>
      <c r="R32" s="5" t="s">
        <v>173</v>
      </c>
    </row>
    <row r="33" spans="1:18" ht="22.5" customHeight="1" x14ac:dyDescent="0.2">
      <c r="A33" s="2">
        <v>46118.979467974539</v>
      </c>
      <c r="B33" s="3" t="s">
        <v>174</v>
      </c>
      <c r="C33" s="3" t="s">
        <v>175</v>
      </c>
      <c r="D33" s="3" t="s">
        <v>176</v>
      </c>
      <c r="E33" s="3">
        <v>81007</v>
      </c>
      <c r="F33" s="7">
        <v>1</v>
      </c>
      <c r="G33" s="3">
        <v>24482</v>
      </c>
      <c r="H33" s="9">
        <v>1</v>
      </c>
      <c r="I33" s="3" t="s">
        <v>14</v>
      </c>
      <c r="J33" s="9">
        <v>1</v>
      </c>
      <c r="K33" s="3" t="s">
        <v>15</v>
      </c>
      <c r="L33" s="9">
        <v>1</v>
      </c>
      <c r="M33" s="4">
        <v>96347</v>
      </c>
      <c r="N33" s="11">
        <v>0</v>
      </c>
      <c r="O33" s="3" t="s">
        <v>177</v>
      </c>
      <c r="P33" s="9">
        <v>1</v>
      </c>
      <c r="Q33" s="12">
        <f t="shared" si="0"/>
        <v>9</v>
      </c>
      <c r="R33" s="5" t="s">
        <v>178</v>
      </c>
    </row>
    <row r="34" spans="1:18" ht="22.5" customHeight="1" x14ac:dyDescent="0.2">
      <c r="A34" s="2">
        <v>46119.55908684028</v>
      </c>
      <c r="B34" s="3" t="s">
        <v>179</v>
      </c>
      <c r="C34" s="3" t="s">
        <v>180</v>
      </c>
      <c r="D34" s="3" t="s">
        <v>181</v>
      </c>
      <c r="E34" s="3">
        <v>81007</v>
      </c>
      <c r="F34" s="7">
        <v>1</v>
      </c>
      <c r="G34" s="3">
        <v>24482</v>
      </c>
      <c r="H34" s="9">
        <v>1</v>
      </c>
      <c r="I34" s="3" t="s">
        <v>14</v>
      </c>
      <c r="J34" s="9">
        <v>1</v>
      </c>
      <c r="K34" s="3" t="s">
        <v>15</v>
      </c>
      <c r="L34" s="9">
        <v>1</v>
      </c>
      <c r="M34" s="4">
        <v>97194</v>
      </c>
      <c r="N34" s="11">
        <v>0</v>
      </c>
      <c r="O34" s="3" t="s">
        <v>182</v>
      </c>
      <c r="P34" s="9">
        <v>1</v>
      </c>
      <c r="Q34" s="12">
        <f t="shared" si="0"/>
        <v>9</v>
      </c>
      <c r="R34" s="5" t="s">
        <v>183</v>
      </c>
    </row>
    <row r="35" spans="1:18" ht="22.5" customHeight="1" x14ac:dyDescent="0.2">
      <c r="A35" s="2">
        <v>46121.87779140046</v>
      </c>
      <c r="B35" s="3" t="s">
        <v>184</v>
      </c>
      <c r="C35" s="3" t="s">
        <v>185</v>
      </c>
      <c r="D35" s="3" t="s">
        <v>186</v>
      </c>
      <c r="E35" s="3">
        <v>81007</v>
      </c>
      <c r="F35" s="7">
        <v>1</v>
      </c>
      <c r="G35" s="3">
        <v>2284</v>
      </c>
      <c r="H35" s="9">
        <v>0</v>
      </c>
      <c r="I35" s="3" t="s">
        <v>120</v>
      </c>
      <c r="J35" s="9">
        <v>1</v>
      </c>
      <c r="K35" s="3" t="s">
        <v>15</v>
      </c>
      <c r="L35" s="9">
        <v>1</v>
      </c>
      <c r="M35" s="4">
        <v>9452</v>
      </c>
      <c r="N35" s="11">
        <v>1</v>
      </c>
      <c r="O35" s="3" t="s">
        <v>187</v>
      </c>
      <c r="P35" s="9">
        <v>1</v>
      </c>
      <c r="Q35" s="12">
        <f t="shared" si="0"/>
        <v>9</v>
      </c>
      <c r="R35" s="5" t="s">
        <v>188</v>
      </c>
    </row>
    <row r="36" spans="1:18" ht="22.5" customHeight="1" x14ac:dyDescent="0.2">
      <c r="A36" s="2">
        <v>46121.879011805555</v>
      </c>
      <c r="B36" s="3" t="s">
        <v>189</v>
      </c>
      <c r="C36" s="3" t="s">
        <v>190</v>
      </c>
      <c r="D36" s="3" t="s">
        <v>191</v>
      </c>
      <c r="E36" s="3">
        <v>81007</v>
      </c>
      <c r="F36" s="7">
        <v>1</v>
      </c>
      <c r="G36" s="3">
        <v>2284</v>
      </c>
      <c r="H36" s="9">
        <v>0</v>
      </c>
      <c r="I36" s="3" t="s">
        <v>14</v>
      </c>
      <c r="J36" s="9">
        <v>1</v>
      </c>
      <c r="K36" s="3" t="s">
        <v>15</v>
      </c>
      <c r="L36" s="9">
        <v>1</v>
      </c>
      <c r="M36" s="4">
        <v>9452</v>
      </c>
      <c r="N36" s="11">
        <v>1</v>
      </c>
      <c r="O36" s="3" t="s">
        <v>192</v>
      </c>
      <c r="P36" s="9">
        <v>1</v>
      </c>
      <c r="Q36" s="12">
        <f t="shared" si="0"/>
        <v>9</v>
      </c>
      <c r="R36" s="5" t="s">
        <v>193</v>
      </c>
    </row>
    <row r="37" spans="1:18" ht="22.5" customHeight="1" x14ac:dyDescent="0.2">
      <c r="A37" s="2">
        <v>46121.884255324076</v>
      </c>
      <c r="B37" s="3" t="s">
        <v>194</v>
      </c>
      <c r="C37" s="3" t="s">
        <v>195</v>
      </c>
      <c r="D37" s="3" t="s">
        <v>196</v>
      </c>
      <c r="E37" s="3">
        <v>81007</v>
      </c>
      <c r="F37" s="7">
        <v>1</v>
      </c>
      <c r="G37" s="3">
        <v>2284</v>
      </c>
      <c r="H37" s="9">
        <v>0</v>
      </c>
      <c r="I37" s="3" t="s">
        <v>14</v>
      </c>
      <c r="J37" s="9">
        <v>1</v>
      </c>
      <c r="K37" s="3" t="s">
        <v>15</v>
      </c>
      <c r="L37" s="9">
        <v>1</v>
      </c>
      <c r="M37" s="3" t="s">
        <v>197</v>
      </c>
      <c r="N37" s="11">
        <v>1</v>
      </c>
      <c r="O37" s="3" t="s">
        <v>198</v>
      </c>
      <c r="P37" s="9">
        <v>1</v>
      </c>
      <c r="Q37" s="12">
        <f t="shared" si="0"/>
        <v>9</v>
      </c>
      <c r="R37" s="5" t="s">
        <v>199</v>
      </c>
    </row>
    <row r="38" spans="1:18" ht="22.5" customHeight="1" x14ac:dyDescent="0.2">
      <c r="A38" s="2">
        <v>46121.893465532412</v>
      </c>
      <c r="B38" s="3" t="s">
        <v>200</v>
      </c>
      <c r="C38" s="3" t="s">
        <v>201</v>
      </c>
      <c r="D38" s="3" t="s">
        <v>202</v>
      </c>
      <c r="E38" s="3">
        <v>81007</v>
      </c>
      <c r="F38" s="7">
        <v>1</v>
      </c>
      <c r="G38" s="3">
        <v>2284</v>
      </c>
      <c r="H38" s="9">
        <v>0</v>
      </c>
      <c r="I38" s="3" t="s">
        <v>14</v>
      </c>
      <c r="J38" s="9">
        <v>1</v>
      </c>
      <c r="K38" s="3" t="s">
        <v>15</v>
      </c>
      <c r="L38" s="9">
        <v>1</v>
      </c>
      <c r="M38" s="4">
        <v>9452</v>
      </c>
      <c r="N38" s="11">
        <v>1</v>
      </c>
      <c r="O38" s="3" t="s">
        <v>203</v>
      </c>
      <c r="P38" s="9">
        <v>1</v>
      </c>
      <c r="Q38" s="12">
        <f t="shared" si="0"/>
        <v>9</v>
      </c>
      <c r="R38" s="5" t="s">
        <v>204</v>
      </c>
    </row>
    <row r="39" spans="1:18" ht="22.5" customHeight="1" x14ac:dyDescent="0.2">
      <c r="A39" s="2">
        <v>46121.898164652783</v>
      </c>
      <c r="B39" s="3" t="s">
        <v>205</v>
      </c>
      <c r="C39" s="3" t="s">
        <v>206</v>
      </c>
      <c r="D39" s="3" t="s">
        <v>207</v>
      </c>
      <c r="E39" s="3">
        <v>81007</v>
      </c>
      <c r="F39" s="7">
        <v>1</v>
      </c>
      <c r="G39" s="3">
        <v>2284</v>
      </c>
      <c r="H39" s="9">
        <v>0</v>
      </c>
      <c r="I39" s="3" t="s">
        <v>14</v>
      </c>
      <c r="J39" s="9">
        <v>1</v>
      </c>
      <c r="K39" s="3" t="s">
        <v>15</v>
      </c>
      <c r="L39" s="9">
        <v>1</v>
      </c>
      <c r="M39" s="4">
        <v>9452</v>
      </c>
      <c r="N39" s="11">
        <v>1</v>
      </c>
      <c r="O39" s="3" t="s">
        <v>208</v>
      </c>
      <c r="P39" s="9">
        <v>1</v>
      </c>
      <c r="Q39" s="12">
        <f t="shared" si="0"/>
        <v>9</v>
      </c>
      <c r="R39" s="5" t="s">
        <v>209</v>
      </c>
    </row>
  </sheetData>
  <phoneticPr fontId="3" type="noConversion"/>
  <hyperlinks>
    <hyperlink ref="R2" r:id="rId1" xr:uid="{00000000-0004-0000-0000-000000000000}"/>
    <hyperlink ref="R3" r:id="rId2" xr:uid="{00000000-0004-0000-0000-000001000000}"/>
    <hyperlink ref="R4" r:id="rId3" xr:uid="{00000000-0004-0000-0000-000002000000}"/>
    <hyperlink ref="R5" r:id="rId4" xr:uid="{00000000-0004-0000-0000-000003000000}"/>
    <hyperlink ref="R6" r:id="rId5" xr:uid="{00000000-0004-0000-0000-000004000000}"/>
    <hyperlink ref="R7" r:id="rId6" xr:uid="{00000000-0004-0000-0000-000005000000}"/>
    <hyperlink ref="R8" r:id="rId7" xr:uid="{00000000-0004-0000-0000-000006000000}"/>
    <hyperlink ref="R9" r:id="rId8" xr:uid="{00000000-0004-0000-0000-000007000000}"/>
    <hyperlink ref="R10" r:id="rId9" xr:uid="{00000000-0004-0000-0000-000008000000}"/>
    <hyperlink ref="R11" r:id="rId10" xr:uid="{00000000-0004-0000-0000-000009000000}"/>
    <hyperlink ref="R12" r:id="rId11" xr:uid="{00000000-0004-0000-0000-00000A000000}"/>
    <hyperlink ref="R13" r:id="rId12" xr:uid="{00000000-0004-0000-0000-00000B000000}"/>
    <hyperlink ref="R14" r:id="rId13" xr:uid="{00000000-0004-0000-0000-00000C000000}"/>
    <hyperlink ref="R15" r:id="rId14" xr:uid="{00000000-0004-0000-0000-00000D000000}"/>
    <hyperlink ref="R16" r:id="rId15" location="scrollTo=wFtlxaq4IPGm" xr:uid="{00000000-0004-0000-0000-00000E000000}"/>
    <hyperlink ref="R17" r:id="rId16" xr:uid="{00000000-0004-0000-0000-00000F000000}"/>
    <hyperlink ref="R18" r:id="rId17" location="scrollTo=J1wYuB4oc1Yx" xr:uid="{00000000-0004-0000-0000-000010000000}"/>
    <hyperlink ref="R19" r:id="rId18" xr:uid="{00000000-0004-0000-0000-000011000000}"/>
    <hyperlink ref="R20" r:id="rId19" xr:uid="{00000000-0004-0000-0000-000012000000}"/>
    <hyperlink ref="R21" r:id="rId20" xr:uid="{00000000-0004-0000-0000-000013000000}"/>
    <hyperlink ref="R22" r:id="rId21" xr:uid="{00000000-0004-0000-0000-000014000000}"/>
    <hyperlink ref="R23" r:id="rId22" xr:uid="{00000000-0004-0000-0000-000015000000}"/>
    <hyperlink ref="R24" r:id="rId23" xr:uid="{00000000-0004-0000-0000-000016000000}"/>
    <hyperlink ref="R25" r:id="rId24" xr:uid="{00000000-0004-0000-0000-000017000000}"/>
    <hyperlink ref="R26" r:id="rId25" xr:uid="{00000000-0004-0000-0000-000018000000}"/>
    <hyperlink ref="R27" r:id="rId26" xr:uid="{00000000-0004-0000-0000-000019000000}"/>
    <hyperlink ref="R28" r:id="rId27" xr:uid="{00000000-0004-0000-0000-00001A000000}"/>
    <hyperlink ref="R29" r:id="rId28" xr:uid="{00000000-0004-0000-0000-00001B000000}"/>
    <hyperlink ref="R30" r:id="rId29" xr:uid="{00000000-0004-0000-0000-00001C000000}"/>
    <hyperlink ref="R31" r:id="rId30" xr:uid="{00000000-0004-0000-0000-00001D000000}"/>
    <hyperlink ref="R32" r:id="rId31" xr:uid="{00000000-0004-0000-0000-00001E000000}"/>
    <hyperlink ref="R33" r:id="rId32" xr:uid="{00000000-0004-0000-0000-00001F000000}"/>
    <hyperlink ref="R34" r:id="rId33" xr:uid="{00000000-0004-0000-0000-000020000000}"/>
    <hyperlink ref="R35" r:id="rId34" xr:uid="{00000000-0004-0000-0000-000021000000}"/>
    <hyperlink ref="R36" r:id="rId35" xr:uid="{00000000-0004-0000-0000-000022000000}"/>
    <hyperlink ref="R37" r:id="rId36" xr:uid="{00000000-0004-0000-0000-000023000000}"/>
    <hyperlink ref="R38" r:id="rId37" xr:uid="{00000000-0004-0000-0000-000024000000}"/>
    <hyperlink ref="R39" r:id="rId38" xr:uid="{00000000-0004-0000-0000-000025000000}"/>
  </hyperlinks>
  <pageMargins left="0.7" right="0.7" top="0.75" bottom="0.75" header="0.3" footer="0.3"/>
  <tableParts count="1">
    <tablePart r:id="rId3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ROGERIO DE OLIVEIRA</cp:lastModifiedBy>
  <dcterms:modified xsi:type="dcterms:W3CDTF">2026-04-24T15:15:52Z</dcterms:modified>
</cp:coreProperties>
</file>